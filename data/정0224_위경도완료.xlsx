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<sst xmlns="http://schemas.openxmlformats.org/spreadsheetml/2006/main" count="2012" uniqueCount="525">
  <si>
    <t>본부</t>
  </si>
  <si>
    <t>지사</t>
  </si>
  <si>
    <t>KPI차감 '26년 2월말</t>
  </si>
  <si>
    <t>KPI차감(익월임시)</t>
  </si>
  <si>
    <t>계약번호</t>
  </si>
  <si>
    <t>상호</t>
  </si>
  <si>
    <t>이벤트시작일</t>
  </si>
  <si>
    <t>체납</t>
  </si>
  <si>
    <t>본사체납구분</t>
  </si>
  <si>
    <t>부실여부(체납제외)</t>
  </si>
  <si>
    <t>실적채널</t>
  </si>
  <si>
    <t>L형/i형</t>
  </si>
  <si>
    <t>출동/영상</t>
  </si>
  <si>
    <t>부실구분</t>
  </si>
  <si>
    <t>조회구분</t>
  </si>
  <si>
    <t>당월말_정지일수</t>
  </si>
  <si>
    <t>익월말_정지일수</t>
  </si>
  <si>
    <t>당월말_정지일수_구간</t>
  </si>
  <si>
    <t>익월말_정지일수_구간</t>
  </si>
  <si>
    <t>월정료 구간</t>
  </si>
  <si>
    <t>서비스(소)</t>
  </si>
  <si>
    <t>월정료(VAT미포함)</t>
  </si>
  <si>
    <t>영업구역정보</t>
  </si>
  <si>
    <t>구역담당영업사원</t>
  </si>
  <si>
    <t>설치주소</t>
  </si>
  <si>
    <t>정지시작일자</t>
  </si>
  <si>
    <t>정지희망종료일</t>
  </si>
  <si>
    <t>계약시작일</t>
  </si>
  <si>
    <t>계약종료일</t>
  </si>
  <si>
    <t>비고</t>
  </si>
  <si>
    <t>사업용구분</t>
  </si>
  <si>
    <t>해지요청승인상태</t>
  </si>
  <si>
    <t>해지희망일자</t>
  </si>
  <si>
    <t>휴대폰</t>
  </si>
  <si>
    <t>E-MAIL</t>
  </si>
  <si>
    <t>조치구분</t>
  </si>
  <si>
    <t>조치월</t>
  </si>
  <si>
    <t>세부계획</t>
  </si>
  <si>
    <t>처리년월</t>
  </si>
  <si>
    <t>해지사유(NIMS)</t>
  </si>
  <si>
    <t>해지상세사유(NIMS)</t>
  </si>
  <si>
    <t>해지희망일자.1</t>
  </si>
  <si>
    <t>담당</t>
  </si>
  <si>
    <t>정지처리자명</t>
  </si>
  <si>
    <t>정지사유</t>
  </si>
  <si>
    <t>정지요청사항(정지사유)</t>
  </si>
  <si>
    <t>해지 voc</t>
  </si>
  <si>
    <t>계약상태(중)</t>
  </si>
  <si>
    <t>정지시작일자.1</t>
  </si>
  <si>
    <t>조치계획</t>
  </si>
  <si>
    <t>본부정립</t>
  </si>
  <si>
    <t>계약상태(중).1</t>
  </si>
  <si>
    <t>정지시작일자.2</t>
  </si>
  <si>
    <t>정지..</t>
  </si>
  <si>
    <t>위도</t>
  </si>
  <si>
    <t>경도</t>
  </si>
  <si>
    <t>시</t>
  </si>
  <si>
    <t>군구</t>
  </si>
  <si>
    <t>읍면동</t>
  </si>
  <si>
    <t>위치좌표(위도,경도)</t>
  </si>
  <si>
    <t>지도링크_URL</t>
  </si>
  <si>
    <t>지도링크</t>
  </si>
  <si>
    <t>강북/강원</t>
  </si>
  <si>
    <t>서대문</t>
  </si>
  <si>
    <t>강북</t>
  </si>
  <si>
    <t>의정부</t>
  </si>
  <si>
    <t>강릉</t>
  </si>
  <si>
    <t>중앙</t>
  </si>
  <si>
    <t>남양주</t>
  </si>
  <si>
    <t>고양</t>
  </si>
  <si>
    <t>원주</t>
  </si>
  <si>
    <t>대상</t>
  </si>
  <si>
    <t>주식회사 한결이엔씨</t>
  </si>
  <si>
    <t>주식회사 한결이엔씨 1층</t>
  </si>
  <si>
    <t>주식회사 한결이엔씨 2층</t>
  </si>
  <si>
    <t>주식회사 한결이엔씨3층-EVS</t>
  </si>
  <si>
    <t>주식회사 한결이엔씨 4층-EVS</t>
  </si>
  <si>
    <t>주식회사 브랜드바이브</t>
  </si>
  <si>
    <t>낚시터</t>
  </si>
  <si>
    <t>(주)대경씨푸드-영상</t>
  </si>
  <si>
    <t>공차한양대한양플라자점</t>
  </si>
  <si>
    <t>(주)대경씨푸드-방범</t>
  </si>
  <si>
    <t>신흥정보통신창고</t>
  </si>
  <si>
    <t>블루엘리펀트-서울숲쇼룸(GiGAeyes guard)</t>
  </si>
  <si>
    <t>유니룩스-창고동(GiGAeyes guard)</t>
  </si>
  <si>
    <t>서익자사업장(OCT)</t>
  </si>
  <si>
    <t>건대 놀거리셀프사진관</t>
  </si>
  <si>
    <t>코아스1공장 연구동(OCT)</t>
  </si>
  <si>
    <t>코아스1공장AB동(OCT)</t>
  </si>
  <si>
    <t>포차천국탄현점(GiGAeyes guard)</t>
  </si>
  <si>
    <t>넥스트피씨방-무인PC</t>
  </si>
  <si>
    <t>에스엠비 1층</t>
  </si>
  <si>
    <t>에스엠비 2층</t>
  </si>
  <si>
    <t>에스엠비-3층</t>
  </si>
  <si>
    <t>에스엠비 4층</t>
  </si>
  <si>
    <t>에스엠비-창고</t>
  </si>
  <si>
    <t>에스엠비-옥상</t>
  </si>
  <si>
    <t>주식회사담소정</t>
  </si>
  <si>
    <t>태성개발(주)_출입통제</t>
  </si>
  <si>
    <t>태성개발(주)_view</t>
  </si>
  <si>
    <t>닥터모락 일산주엽점</t>
  </si>
  <si>
    <t>코아스1공장사무동(OCT)</t>
  </si>
  <si>
    <t>카페리베르떼(OCT)</t>
  </si>
  <si>
    <t>문산노외주차장</t>
  </si>
  <si>
    <t>(주)유화이앤씨</t>
  </si>
  <si>
    <t>대원물산(OCT뷰)</t>
  </si>
  <si>
    <t>레스트인네이처(안녕인사동점)</t>
  </si>
  <si>
    <t>소사면옥</t>
  </si>
  <si>
    <t>디액션-망월사점(OCT)</t>
  </si>
  <si>
    <t>부광교회</t>
  </si>
  <si>
    <t>포스탑프라자(GiGAeyes guard)</t>
  </si>
  <si>
    <t>서울부설초등학교(출입통제)</t>
  </si>
  <si>
    <t>남건이앤에스주유저장소(GiGAeyes guard)</t>
  </si>
  <si>
    <t>로나</t>
  </si>
  <si>
    <t>한가어죽-양주옥정점</t>
  </si>
  <si>
    <t>이혜리님가정집</t>
  </si>
  <si>
    <t>월드타워건설18차(타워크레인)</t>
  </si>
  <si>
    <t>나린코퍼레이션별관(GiGAeyes guard)</t>
  </si>
  <si>
    <t>토마토수상레져(OCT)</t>
  </si>
  <si>
    <t>코아스2공장사무동(OCT)</t>
  </si>
  <si>
    <t>정품주유소gigaeyes뷰(NVR)</t>
  </si>
  <si>
    <t>우드랜드개발(이태원225-34)</t>
  </si>
  <si>
    <t>하구</t>
  </si>
  <si>
    <t>풍년식당</t>
  </si>
  <si>
    <t>퀸즈램(GiGAeyes guard)</t>
  </si>
  <si>
    <t>신구아파트(EV-Safer)</t>
  </si>
  <si>
    <t>아산온재활의학과</t>
  </si>
  <si>
    <t xml:space="preserve">  </t>
  </si>
  <si>
    <t>KTT일반정지</t>
  </si>
  <si>
    <t>KT일반정지</t>
  </si>
  <si>
    <t xml:space="preserve"> 대상 </t>
  </si>
  <si>
    <t>SP</t>
  </si>
  <si>
    <t>SC</t>
  </si>
  <si>
    <t>L형</t>
  </si>
  <si>
    <t>출동보안</t>
  </si>
  <si>
    <t>영상보안</t>
  </si>
  <si>
    <t xml:space="preserve"> 장기정지 </t>
  </si>
  <si>
    <t xml:space="preserve"> 장기설변 </t>
  </si>
  <si>
    <t>정지</t>
  </si>
  <si>
    <t>설변</t>
  </si>
  <si>
    <t>89일이하</t>
  </si>
  <si>
    <t>90~119일</t>
  </si>
  <si>
    <t>120~149일</t>
  </si>
  <si>
    <t>150일이상</t>
  </si>
  <si>
    <t>10만~20만 이하</t>
  </si>
  <si>
    <t>5만 이하</t>
  </si>
  <si>
    <t>5만~7만 이하</t>
  </si>
  <si>
    <t>7만~10만 이하</t>
  </si>
  <si>
    <t>20만~50만 이하</t>
  </si>
  <si>
    <t>GiGAeyes EV-safer(열화상감시)</t>
  </si>
  <si>
    <t>Self</t>
  </si>
  <si>
    <t>ktt GiGAeyes view+(NVR)</t>
  </si>
  <si>
    <t>kt OCT 뷰(NVR)</t>
  </si>
  <si>
    <t>ktt GiGAeyes view+(DVR)</t>
  </si>
  <si>
    <t>GiGAeyes Basic</t>
  </si>
  <si>
    <t>GiGAeyes guard+(DVR)</t>
  </si>
  <si>
    <t>ktt OCT 가드(DVR)</t>
  </si>
  <si>
    <t>ktt OCT 가드(NVR)</t>
  </si>
  <si>
    <t>Combo(방범+영상:WCDMA)</t>
  </si>
  <si>
    <t>GiGAeyes 24h_무인PC방</t>
  </si>
  <si>
    <t>단독형 I 지문리더</t>
  </si>
  <si>
    <t>단독형 II 지문리더</t>
  </si>
  <si>
    <t>단독형 I 홍채리더</t>
  </si>
  <si>
    <t>GiGAeyes guard+(NVR)</t>
  </si>
  <si>
    <t>G000201</t>
  </si>
  <si>
    <t>G000106</t>
  </si>
  <si>
    <t>G000506</t>
  </si>
  <si>
    <t>P000102</t>
  </si>
  <si>
    <t>G000408</t>
  </si>
  <si>
    <t>G000603</t>
  </si>
  <si>
    <t>G000306</t>
  </si>
  <si>
    <t>G000503</t>
  </si>
  <si>
    <t>G000305</t>
  </si>
  <si>
    <t>G000308</t>
  </si>
  <si>
    <t>G000301</t>
  </si>
  <si>
    <t>P000208</t>
  </si>
  <si>
    <t>G000304</t>
  </si>
  <si>
    <t>G000103</t>
  </si>
  <si>
    <t>G000504</t>
  </si>
  <si>
    <t>G000402</t>
  </si>
  <si>
    <t>G000501</t>
  </si>
  <si>
    <t>G000410</t>
  </si>
  <si>
    <t>G000409</t>
  </si>
  <si>
    <t>G000505</t>
  </si>
  <si>
    <t>G000604</t>
  </si>
  <si>
    <t>G000403</t>
  </si>
  <si>
    <t>G000407</t>
  </si>
  <si>
    <t>G000101</t>
  </si>
  <si>
    <t>정승원</t>
  </si>
  <si>
    <t>김창곤</t>
  </si>
  <si>
    <t>서울 은평구 대조동 ********</t>
  </si>
  <si>
    <t>서울 성동구 성수동1가 ********</t>
  </si>
  <si>
    <t>경기 포천시 영중면 ********</t>
  </si>
  <si>
    <t>강원 강릉시 주문진읍 ********</t>
  </si>
  <si>
    <t>서울 성동구 사근동 ********</t>
  </si>
  <si>
    <t>경기 남양주시 별내면 ********</t>
  </si>
  <si>
    <t>경기 파주시 산남동 ********</t>
  </si>
  <si>
    <t>경기 양주시 고암동 ********</t>
  </si>
  <si>
    <t>서울 광진구 화양동 ********</t>
  </si>
  <si>
    <t>경기 파주시 탄현면 ********</t>
  </si>
  <si>
    <t>경기 고양시 일산서구 탄현동 ********</t>
  </si>
  <si>
    <t>서울 은평구 응암동 ********</t>
  </si>
  <si>
    <t>경기 고양시 덕양구 주교동 ********</t>
  </si>
  <si>
    <t>강원 인제군 북면 ********</t>
  </si>
  <si>
    <t>경기 고양시 일산서구 주엽동 ********</t>
  </si>
  <si>
    <t>경기 고양시 일산구 대화동 ********</t>
  </si>
  <si>
    <t>경기 파주시 문산읍 ********</t>
  </si>
  <si>
    <t>서울 동대문구 이문동 ********</t>
  </si>
  <si>
    <t>경기 양주시 남면 ********</t>
  </si>
  <si>
    <t>서울 종로구 관훈동 ********</t>
  </si>
  <si>
    <t>서울 광진구 능동 ********</t>
  </si>
  <si>
    <t>경기 의정부시 호원동 ********</t>
  </si>
  <si>
    <t>서울 광진구 구의동 ********</t>
  </si>
  <si>
    <t>경기 의정부시 민락동 ********</t>
  </si>
  <si>
    <t>서울 종로구 이화동 ********</t>
  </si>
  <si>
    <t>경기 양주시 광적면 ********</t>
  </si>
  <si>
    <t>서울 중구 신당동 ********</t>
  </si>
  <si>
    <t>경기 양주시 옥정동 ********</t>
  </si>
  <si>
    <t>경기 고양시 덕양구 성사동 ********</t>
  </si>
  <si>
    <t>경기 파주시 다율동 ********</t>
  </si>
  <si>
    <t>경기 포천시 정교리 ********</t>
  </si>
  <si>
    <t>경기 양평군 강하면전수리 ********</t>
  </si>
  <si>
    <t>경기 양평군 용문면 ********</t>
  </si>
  <si>
    <t>서울 용산구 이태원동 ********</t>
  </si>
  <si>
    <t>서울 종로구 익선동 ********</t>
  </si>
  <si>
    <t>서울 종로구 화동 ********</t>
  </si>
  <si>
    <t>서울 노원구 상계2동 서울 노원구 노해로85길 10-55 소담빌 상가1층</t>
  </si>
  <si>
    <t>서울 강북구 미아동 1352 주차장</t>
  </si>
  <si>
    <t>서울 은평구 응암동 254 3층</t>
  </si>
  <si>
    <t>내부공사로 일시정지 요청</t>
  </si>
  <si>
    <t>내부 인테리어공사로 일시정지 요청</t>
  </si>
  <si>
    <t>사업장 리모델링 공사/김현교</t>
  </si>
  <si>
    <t>관리단 변경으로 인한 리뉴얼 공사로 일시정지 전용계좌 요금 안내</t>
  </si>
  <si>
    <t>이전예정 정지</t>
  </si>
  <si>
    <t>명변예정 정지/정성록</t>
  </si>
  <si>
    <t>이전으로 정지</t>
  </si>
  <si>
    <t>인테리어공사(25.12.01~26.02.288)/요청자:SP남기민</t>
  </si>
  <si>
    <t>명변예정 정지</t>
  </si>
  <si>
    <t>크레인공사현장 철거로 현장 이전 예정</t>
  </si>
  <si>
    <t>휴업으로(계절영업) 인한 일시정지 요청(11.06~02.06)/4월까지는 영업 안할 예정/4월까지 정지 요청언급/김이슬</t>
  </si>
  <si>
    <t>고객요청 일시정지/김현교</t>
  </si>
  <si>
    <t>비사업용</t>
  </si>
  <si>
    <t>미승인</t>
  </si>
  <si>
    <t>010-8364-0037</t>
  </si>
  <si>
    <t>010-9717-3312</t>
  </si>
  <si>
    <t>010-5420-0645</t>
  </si>
  <si>
    <t>010-4145-2525</t>
  </si>
  <si>
    <t>010-4205-5356</t>
  </si>
  <si>
    <t>--</t>
  </si>
  <si>
    <t>010-3330-5706</t>
  </si>
  <si>
    <t>010-5289-9977</t>
  </si>
  <si>
    <t>010-5266-3625</t>
  </si>
  <si>
    <t>010-5217-9721</t>
  </si>
  <si>
    <t>010-7677-7818</t>
  </si>
  <si>
    <t>010-5347-2540</t>
  </si>
  <si>
    <t>010-6345-3919</t>
  </si>
  <si>
    <t>010-1111-1234</t>
  </si>
  <si>
    <t>010-9190-3188</t>
  </si>
  <si>
    <t>010-2313-5519</t>
  </si>
  <si>
    <t>010-4399-2529</t>
  </si>
  <si>
    <t>010-8597-8729</t>
  </si>
  <si>
    <t>010-9022-2392</t>
  </si>
  <si>
    <t>010-8351-8528</t>
  </si>
  <si>
    <t>010-7147-0527</t>
  </si>
  <si>
    <t>010-8636-8068</t>
  </si>
  <si>
    <t>010-5054-4092</t>
  </si>
  <si>
    <t>010-8859-3946</t>
  </si>
  <si>
    <t>010-9030-6800</t>
  </si>
  <si>
    <t>010-6750-5880</t>
  </si>
  <si>
    <t>010-2295-7990</t>
  </si>
  <si>
    <t>010-3580-4991</t>
  </si>
  <si>
    <t>010-3241-7315</t>
  </si>
  <si>
    <t>010-5290-2596</t>
  </si>
  <si>
    <t>010-5932-4930</t>
  </si>
  <si>
    <t>010-8191-1197</t>
  </si>
  <si>
    <t>010-3657-1749</t>
  </si>
  <si>
    <t>010-4116-6122</t>
  </si>
  <si>
    <t>010-3732-4462</t>
  </si>
  <si>
    <t>010-9578-8802</t>
  </si>
  <si>
    <t>010-8013-2707</t>
  </si>
  <si>
    <t>010-3265-5767</t>
  </si>
  <si>
    <t>010-7795-5356</t>
  </si>
  <si>
    <t>3213421@naver.com</t>
  </si>
  <si>
    <t>minhit@brandvibe.co.kr</t>
  </si>
  <si>
    <t>미등록@naver.com</t>
  </si>
  <si>
    <t>dksf3004@naver.com</t>
  </si>
  <si>
    <t>jmtaein@naver.com</t>
  </si>
  <si>
    <t>shtel001@hanmail.net</t>
  </si>
  <si>
    <t>betax260@gmail.com</t>
  </si>
  <si>
    <t>jw.mo@unielux.com</t>
  </si>
  <si>
    <t>juan100@naver.com</t>
  </si>
  <si>
    <t>speed34437818@gmail.com</t>
  </si>
  <si>
    <t>manager@ikoas.com</t>
  </si>
  <si>
    <t>untitle13@ikoas.com</t>
  </si>
  <si>
    <t>yujinna@samsungfire.com</t>
  </si>
  <si>
    <t>bisco9804@naver.com</t>
  </si>
  <si>
    <t>mpwoobin@naver.com</t>
  </si>
  <si>
    <t>213123@naver.com</t>
  </si>
  <si>
    <t>3213124@naver.com</t>
  </si>
  <si>
    <t>dsj3934@naver.com</t>
  </si>
  <si>
    <t>ts230719@naver.com</t>
  </si>
  <si>
    <t>fire9125@naver.com</t>
  </si>
  <si>
    <t>cafeliberte@naver.com</t>
  </si>
  <si>
    <t>sinwoo8800@daum.net</t>
  </si>
  <si>
    <t>yoohwa1@korea.com</t>
  </si>
  <si>
    <t>daewonco20@naver.com</t>
  </si>
  <si>
    <t>tax@restinnature.co.kr</t>
  </si>
  <si>
    <t>dm@naver.com</t>
  </si>
  <si>
    <t>wlsgks0821@nate.com</t>
  </si>
  <si>
    <t>pojken@naver.com</t>
  </si>
  <si>
    <t>1@</t>
  </si>
  <si>
    <t>1@naver.com</t>
  </si>
  <si>
    <t>skng2019@hanmail.net</t>
  </si>
  <si>
    <t>lowna5204@naver.com</t>
  </si>
  <si>
    <t>jundaekong@naver.com</t>
  </si>
  <si>
    <t>lhlwkd@naver.com</t>
  </si>
  <si>
    <t>newworld08@nate.com</t>
  </si>
  <si>
    <t>gkstkdwp@naver.com</t>
  </si>
  <si>
    <t>kdh732@hanmail.net</t>
  </si>
  <si>
    <t>seo004861@gmail.com</t>
  </si>
  <si>
    <t>jhh5990@naver.com</t>
  </si>
  <si>
    <t>maremohe@naver.com</t>
  </si>
  <si>
    <t>a@naver.com</t>
  </si>
  <si>
    <t xml:space="preserve">              -</t>
  </si>
  <si>
    <t xml:space="preserve"> 유지 </t>
  </si>
  <si>
    <t xml:space="preserve"> 7월 </t>
  </si>
  <si>
    <t xml:space="preserve"> - </t>
  </si>
  <si>
    <t>25년12월</t>
  </si>
  <si>
    <t>25년11월</t>
  </si>
  <si>
    <t>25년10월</t>
  </si>
  <si>
    <t>25년08월</t>
  </si>
  <si>
    <t>관리자</t>
  </si>
  <si>
    <t>박희준</t>
  </si>
  <si>
    <t>최윤정</t>
  </si>
  <si>
    <t>조충현</t>
  </si>
  <si>
    <t>한현석</t>
  </si>
  <si>
    <t>김이슬</t>
  </si>
  <si>
    <t>송명숙</t>
  </si>
  <si>
    <t>이전/설변</t>
  </si>
  <si>
    <t>휴/폐업</t>
  </si>
  <si>
    <t>경제적사유</t>
  </si>
  <si>
    <t>명의변경</t>
  </si>
  <si>
    <t>010-8364-0037/이광희/이전예정으로정지요청/12.31일~01.31일/정지전산등록완료/단말기OFF 방문요청</t>
  </si>
  <si>
    <t>010-9717-3312/김정민(직원)/이전예정-정지요청/25.12.30~26.02.28/정지전산등록완료/이사로인해 현시설 장비 선철거필요-철거일정협의 선연락후 방문요청/위약금안내시 너무 많이 나온다고 언급하시며 위약금 과청구관련 추후 공정거래위원회 신고언급</t>
  </si>
  <si>
    <t>010-5420-0645/한가연/미사용-정지신청/25.12.30~26.02.28/정지전산등록완료/단말기OFF필요시 010-5092-7077 선연락후 방문요청</t>
  </si>
  <si>
    <t>010-8523-3513/박중호/ 단전으로 일시정지 요청/12.31까지 /양해&gt; 현장 필요시 1월 1일 재전화요청/정지전산등록완료/단말기OFF 방문요청</t>
  </si>
  <si>
    <t>010-4205-5356/황정미(대표:긴급1)/휴점으로 일시정지요청/12.27~12.31/정지전산등록완/단말기OFF -방문불필요</t>
  </si>
  <si>
    <t>010-7370-1368/홍주영/이전으로 일시정지 요청/2025.12.25 ~ 12.31/정지전산등록완료/단말기OFF 방문요청</t>
  </si>
  <si>
    <t>실내공사 정지요청/중앙지사 영업팀장 남기민</t>
  </si>
  <si>
    <t>010-5217-9721/서선옥/이전설치 예정으로 일시정지 요청/12.23 ~ 12.31/정지전산등록완료/</t>
  </si>
  <si>
    <t>010-7677-7818/장윤재/ 이전설치로 일시정지요/ 12.20~ 12.31일까지 정지 전산등록완료/ 장비 off 방문요</t>
  </si>
  <si>
    <t>010-9278-9779/나미애/정지요청/인테리어 공사/12/18~31/단말기OFF방문거부/정시전산등록완료</t>
  </si>
  <si>
    <t>010-6345-3919/손민철/휴업으로 인한 일시정지요청/25.12.18~12.31/정지전산등록완료/단말기OFF 방문시 선 연락요청/</t>
  </si>
  <si>
    <t>010-9190-3188/배은하/공사로 인해 일시정지요청/12.18~12.31일/정지전산등록완료/단말기 off일정 선연락요청/미납요금금 국민계좌 수납확인완료</t>
  </si>
  <si>
    <t>010-2313-5519/박영선/경제-일시정지요청/25.12.13~25.12.31/정지정산등록완료/단말기OFF 선 연락 후 방문요청</t>
  </si>
  <si>
    <t>010-2970-0417/김효정/일시정지/사유 : 현장종료/기간: 12.12~12.31</t>
  </si>
  <si>
    <t>010-8597-8729/김서윤/일시정지 요청/가게 운영시간이 줄어듬/기간 : 25.12.11~12.31/정지정산등록완료/단말기OFF 방문요청 : 오후1시/회선료안내완료</t>
  </si>
  <si>
    <t>010-9022-2392/이하나/인테리어공사로 인한 일시정지/25.12.10~12.31/정지전산등록완료/단말기OFF 선 연락 후 방문 요청</t>
  </si>
  <si>
    <t>관리단 변경으로 인한 리뉴얼 공사로 일시정지, 전용계좌, 요금 안내</t>
  </si>
  <si>
    <t>010-7484-0331/강미란/ 당분가 사용 않한다함/일시정지요청 12.06~12.31일까지 /정지 전산등록함/12.05일 11월 미납금 국민은행 가상계좌로 45,100원 입금완료함</t>
  </si>
  <si>
    <t>[홈페이지 간편접수 요청], 시작일:20251205, 종료일:20260104</t>
  </si>
  <si>
    <t>010-9176-0851/김기철/공사로 인해 일시정지요청/12.5~12.31일/정지전산등록완료/장비는 이미 철거해서 가졌다고함</t>
  </si>
  <si>
    <t>010-5231-8756/홍수미/내부공사로 인해 일시정지요청/12.3~12.31일/정지전산등록완료/단말기 off일정 선연락요청/요청자-010-6750-5880/정성조</t>
  </si>
  <si>
    <t>인테리어공사(25.12.01~26.02.28)/요청자:SP남기민</t>
  </si>
  <si>
    <t>010-5290-2596/이아름/11.21(금)-12.19(금) 일시정지 요청/폐업 예정이나 2-3개월 내 재 오픈 가능성 있다며 일시정지로 진행 요청/정지전산등록완료/단말기OFF방문 일정 연락 요청</t>
  </si>
  <si>
    <t>010-5932-4930/한준희/타지역 사업장 재개예정으로 정지요청/2025.11.18~2025.12.17/정지전산등록완료/단말기OFF불필요</t>
  </si>
  <si>
    <t>010-3949-0071/이혜리/설치가안되서 월정료만 납부중/정지요청/11.12~12.12/정지전산등록완료/단말기OFF -방문불필요</t>
  </si>
  <si>
    <t>010-4080-8638/정준호/일시정지사유: 공사 /11월 9일~ 12월9일/정지전산 등록완료/기기 off 영업일에 선 연락 후 방문요청</t>
  </si>
  <si>
    <t>010-9578-8802/서정수/일시정지 요청/이전설치예정/11.01~12.01/30일/정지전산등록완료/장비는 선철거됨 언급</t>
  </si>
  <si>
    <t>010-7208-7503/조한희 이사/현장 공사 만료로 일시정지 10-29~11-29/까지/정지전산등록완료/단말기OFF 방문요청</t>
  </si>
  <si>
    <t>010-3265-5767/김하구/인테리어 공사로 일시정지 요청/8.28~9.28일까지/전산반영/단말기 off 방문안내</t>
  </si>
  <si>
    <t>010-7795-5356/고금임/일시정지요청/건물 신축공사/08.21~09.20/30일/정지전산등록완료/장비철거요청/담당자 통화요청</t>
  </si>
  <si>
    <t>매칭</t>
  </si>
  <si>
    <t>일시정지</t>
  </si>
  <si>
    <t>영업자 고객과 상담진행중</t>
  </si>
  <si>
    <t>정지/고객상담중</t>
  </si>
  <si>
    <t>매장 미운영 정지 요청, 고객 2월 28일까지 연장 요청</t>
  </si>
  <si>
    <t>26년 3월 고객 통화예정</t>
  </si>
  <si>
    <t>쇼파공장 철수로 3월 조치예정</t>
  </si>
  <si>
    <t>26년 3월 조치예정</t>
  </si>
  <si>
    <t>고객 통화예정, 이달말까지 조치예정</t>
  </si>
  <si>
    <t>이전설치 예정, 장소미정으로 추후 확정</t>
  </si>
  <si>
    <t>고객 연락 및 조치예정</t>
  </si>
  <si>
    <t>고객 연락하여 확인예정</t>
  </si>
  <si>
    <t>이전장소 설치 불가 건물로 다른 매장 설치 고려 중</t>
  </si>
  <si>
    <t>3월 재사용 예정</t>
  </si>
  <si>
    <t>폐업하였으나 3개월 내 재오픈 예정, 고객 3월 2일까지 연장 요청</t>
  </si>
  <si>
    <t>계절 영업으로 인하여 '26.04월까지 정지 예정</t>
  </si>
  <si>
    <t>이전장소 미정 / 고객 추가 연장 요청</t>
  </si>
  <si>
    <t>공사현장 만료로 정지, 고객 정지기간 2월 28일까지 연장 요청</t>
  </si>
  <si>
    <t>건물 리모델링으로 정지, 4월경 재설치 예정</t>
  </si>
  <si>
    <t>SC시설</t>
  </si>
  <si>
    <t>해지</t>
  </si>
  <si>
    <t>서울</t>
  </si>
  <si>
    <t>경기</t>
  </si>
  <si>
    <t>강원</t>
  </si>
  <si>
    <t>은평구</t>
  </si>
  <si>
    <t>성동구</t>
  </si>
  <si>
    <t>포천시</t>
  </si>
  <si>
    <t>강릉시</t>
  </si>
  <si>
    <t>남양주시</t>
  </si>
  <si>
    <t>파주시</t>
  </si>
  <si>
    <t>양주시</t>
  </si>
  <si>
    <t>광진구</t>
  </si>
  <si>
    <t>고양시</t>
  </si>
  <si>
    <t>인제군</t>
  </si>
  <si>
    <t>동대문구</t>
  </si>
  <si>
    <t>종로구</t>
  </si>
  <si>
    <t>의정부시</t>
  </si>
  <si>
    <t>중구</t>
  </si>
  <si>
    <t>양평군</t>
  </si>
  <si>
    <t>용산구</t>
  </si>
  <si>
    <t>노원구</t>
  </si>
  <si>
    <t>강북구</t>
  </si>
  <si>
    <t>대조동</t>
  </si>
  <si>
    <t>성동</t>
  </si>
  <si>
    <t>영중면</t>
  </si>
  <si>
    <t>주문진읍</t>
  </si>
  <si>
    <t>별내면</t>
  </si>
  <si>
    <t>산남동</t>
  </si>
  <si>
    <t>고암동</t>
  </si>
  <si>
    <t>화양동</t>
  </si>
  <si>
    <t>탄현면</t>
  </si>
  <si>
    <t>탄현동</t>
  </si>
  <si>
    <t>응암동</t>
  </si>
  <si>
    <t>주교동</t>
  </si>
  <si>
    <t>북면</t>
  </si>
  <si>
    <t>주엽동</t>
  </si>
  <si>
    <t>대화동</t>
  </si>
  <si>
    <t>문산읍</t>
  </si>
  <si>
    <t>이문동</t>
  </si>
  <si>
    <t>남면</t>
  </si>
  <si>
    <t>관훈동</t>
  </si>
  <si>
    <t>능동</t>
  </si>
  <si>
    <t>호원동</t>
  </si>
  <si>
    <t>구의동</t>
  </si>
  <si>
    <t>민락동</t>
  </si>
  <si>
    <t>이화동</t>
  </si>
  <si>
    <t>광적면</t>
  </si>
  <si>
    <t>신당동</t>
  </si>
  <si>
    <t>옥정동</t>
  </si>
  <si>
    <t>성사동</t>
  </si>
  <si>
    <t>다율동</t>
  </si>
  <si>
    <t>강하면</t>
  </si>
  <si>
    <t>용문면</t>
  </si>
  <si>
    <t>이태원동</t>
  </si>
  <si>
    <t>익선동</t>
  </si>
  <si>
    <t>화동</t>
  </si>
  <si>
    <t>미아동</t>
  </si>
  <si>
    <t>37.6141899645264,126.920825111083</t>
  </si>
  <si>
    <t>37.5417253860375,127.043351028535</t>
  </si>
  <si>
    <t>38.0055608827229,127.245148658335</t>
  </si>
  <si>
    <t>37.894000235204,128.823428734257</t>
  </si>
  <si>
    <t>37.5614997515694,127.045327331714</t>
  </si>
  <si>
    <t>37.7026376364433,127.124872496413</t>
  </si>
  <si>
    <t>37.7021997513878,126.687571455272</t>
  </si>
  <si>
    <t>37.8149066278176,127.071198217698</t>
  </si>
  <si>
    <t>37.5464762611363,127.071367614735</t>
  </si>
  <si>
    <t>37.8025424016272,126.716245034905</t>
  </si>
  <si>
    <t>37.6943496272332,126.76845159422</t>
  </si>
  <si>
    <t>37.5963272964126,126.924109745075</t>
  </si>
  <si>
    <t>37.6594130234868,126.829613718048</t>
  </si>
  <si>
    <t>38.1246704618065,128.204172526138</t>
  </si>
  <si>
    <t>37.6700959284217,126.763299407637</t>
  </si>
  <si>
    <t>37.6829848694341,126.755141409924</t>
  </si>
  <si>
    <t>37.8565504951624,126.790957897268</t>
  </si>
  <si>
    <t>37.6004055110661,127.066373060068</t>
  </si>
  <si>
    <t>37.8981269123829,126.97671505489</t>
  </si>
  <si>
    <t>37.5741286083151,126.984690612471</t>
  </si>
  <si>
    <t>37.5537792609497,127.080536887135</t>
  </si>
  <si>
    <t>37.7141699194512,127.034477959332</t>
  </si>
  <si>
    <t>37.5502741239801,127.093135225891</t>
  </si>
  <si>
    <t>37.7403538413428,127.096358976229</t>
  </si>
  <si>
    <t>37.5769946840177,127.004338052474</t>
  </si>
  <si>
    <t>37.8246285211534,126.983684913461</t>
  </si>
  <si>
    <t>37.5620157313143,127.014442188261</t>
  </si>
  <si>
    <t>37.8200125084859,127.088271333497</t>
  </si>
  <si>
    <t>37.6546360151584,126.841233504888</t>
  </si>
  <si>
    <t>37.7375674011586,126.732680218643</t>
  </si>
  <si>
    <t>37.8169633505851,127.17787549382</t>
  </si>
  <si>
    <t>37.4907265644956,127.427655549981</t>
  </si>
  <si>
    <t>37.4889036515229,127.599161344743</t>
  </si>
  <si>
    <t>37.5402662116134,126.991527297365</t>
  </si>
  <si>
    <t>37.5743345779563,126.989694095817</t>
  </si>
  <si>
    <t>37.5806911752014,126.982696745397</t>
  </si>
  <si>
    <t>37.6564361884886,127.06612372319</t>
  </si>
  <si>
    <t>37.6267812637117,127.03052775851</t>
  </si>
  <si>
    <t>https://www.google.com/maps/search/?api=1&amp;query=37.6141899645264,126.920825111083</t>
  </si>
  <si>
    <t>https://www.google.com/maps/search/?api=1&amp;query=37.5417253860375,127.043351028535</t>
  </si>
  <si>
    <t>https://www.google.com/maps/search/?api=1&amp;query=38.0055608827229,127.245148658335</t>
  </si>
  <si>
    <t>https://www.google.com/maps/search/?api=1&amp;query=37.894000235204,128.823428734257</t>
  </si>
  <si>
    <t>https://www.google.com/maps/search/?api=1&amp;query=37.5614997515694,127.045327331714</t>
  </si>
  <si>
    <t>https://www.google.com/maps/search/?api=1&amp;query=37.7026376364433,127.124872496413</t>
  </si>
  <si>
    <t>https://www.google.com/maps/search/?api=1&amp;query=37.7021997513878,126.687571455272</t>
  </si>
  <si>
    <t>https://www.google.com/maps/search/?api=1&amp;query=37.8149066278176,127.071198217698</t>
  </si>
  <si>
    <t>https://www.google.com/maps/search/?api=1&amp;query=37.5464762611363,127.071367614735</t>
  </si>
  <si>
    <t>https://www.google.com/maps/search/?api=1&amp;query=37.8025424016272,126.716245034905</t>
  </si>
  <si>
    <t>https://www.google.com/maps/search/?api=1&amp;query=37.6943496272332,126.76845159422</t>
  </si>
  <si>
    <t>https://www.google.com/maps/search/?api=1&amp;query=37.5963272964126,126.924109745075</t>
  </si>
  <si>
    <t>https://www.google.com/maps/search/?api=1&amp;query=37.6594130234868,126.829613718048</t>
  </si>
  <si>
    <t>https://www.google.com/maps/search/?api=1&amp;query=38.1246704618065,128.204172526138</t>
  </si>
  <si>
    <t>https://www.google.com/maps/search/?api=1&amp;query=37.6700959284217,126.763299407637</t>
  </si>
  <si>
    <t>https://www.google.com/maps/search/?api=1&amp;query=37.6829848694341,126.755141409924</t>
  </si>
  <si>
    <t>https://www.google.com/maps/search/?api=1&amp;query=37.8565504951624,126.790957897268</t>
  </si>
  <si>
    <t>https://www.google.com/maps/search/?api=1&amp;query=37.6004055110661,127.066373060068</t>
  </si>
  <si>
    <t>https://www.google.com/maps/search/?api=1&amp;query=37.8981269123829,126.97671505489</t>
  </si>
  <si>
    <t>https://www.google.com/maps/search/?api=1&amp;query=37.5741286083151,126.984690612471</t>
  </si>
  <si>
    <t>https://www.google.com/maps/search/?api=1&amp;query=37.5537792609497,127.080536887135</t>
  </si>
  <si>
    <t>https://www.google.com/maps/search/?api=1&amp;query=37.7141699194512,127.034477959332</t>
  </si>
  <si>
    <t>https://www.google.com/maps/search/?api=1&amp;query=37.5502741239801,127.093135225891</t>
  </si>
  <si>
    <t>https://www.google.com/maps/search/?api=1&amp;query=37.7403538413428,127.096358976229</t>
  </si>
  <si>
    <t>https://www.google.com/maps/search/?api=1&amp;query=37.5769946840177,127.004338052474</t>
  </si>
  <si>
    <t>https://www.google.com/maps/search/?api=1&amp;query=37.8246285211534,126.983684913461</t>
  </si>
  <si>
    <t>https://www.google.com/maps/search/?api=1&amp;query=37.5620157313143,127.014442188261</t>
  </si>
  <si>
    <t>https://www.google.com/maps/search/?api=1&amp;query=37.8200125084859,127.088271333497</t>
  </si>
  <si>
    <t>https://www.google.com/maps/search/?api=1&amp;query=37.6546360151584,126.841233504888</t>
  </si>
  <si>
    <t>https://www.google.com/maps/search/?api=1&amp;query=37.7375674011586,126.732680218643</t>
  </si>
  <si>
    <t>https://www.google.com/maps/search/?api=1&amp;query=37.8169633505851,127.17787549382</t>
  </si>
  <si>
    <t>https://www.google.com/maps/search/?api=1&amp;query=37.4907265644956,127.427655549981</t>
  </si>
  <si>
    <t>https://www.google.com/maps/search/?api=1&amp;query=37.4889036515229,127.599161344743</t>
  </si>
  <si>
    <t>https://www.google.com/maps/search/?api=1&amp;query=37.5402662116134,126.991527297365</t>
  </si>
  <si>
    <t>https://www.google.com/maps/search/?api=1&amp;query=37.5743345779563,126.989694095817</t>
  </si>
  <si>
    <t>https://www.google.com/maps/search/?api=1&amp;query=37.5806911752014,126.982696745397</t>
  </si>
  <si>
    <t>https://www.google.com/maps/search/?api=1&amp;query=37.6564361884886,127.06612372319</t>
  </si>
  <si>
    <t>https://www.google.com/maps/search/?api=1&amp;query=37.6267812637117,127.03052775851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</si>
</sst>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37.6141899645264,126.920825111083" TargetMode="External"/><Relationship Id="rId2" Type="http://schemas.openxmlformats.org/officeDocument/2006/relationships/hyperlink" Target="https://www.google.com/maps/search/?api=1&amp;query=37.6141899645264,126.920825111083" TargetMode="External"/><Relationship Id="rId3" Type="http://schemas.openxmlformats.org/officeDocument/2006/relationships/hyperlink" Target="https://www.google.com/maps/search/?api=1&amp;query=37.6141899645264,126.920825111083" TargetMode="External"/><Relationship Id="rId4" Type="http://schemas.openxmlformats.org/officeDocument/2006/relationships/hyperlink" Target="https://www.google.com/maps/search/?api=1&amp;query=37.6141899645264,126.920825111083" TargetMode="External"/><Relationship Id="rId5" Type="http://schemas.openxmlformats.org/officeDocument/2006/relationships/hyperlink" Target="https://www.google.com/maps/search/?api=1&amp;query=37.6141899645264,126.920825111083" TargetMode="External"/><Relationship Id="rId6" Type="http://schemas.openxmlformats.org/officeDocument/2006/relationships/hyperlink" Target="https://www.google.com/maps/search/?api=1&amp;query=37.5417253860375,127.043351028535" TargetMode="External"/><Relationship Id="rId7" Type="http://schemas.openxmlformats.org/officeDocument/2006/relationships/hyperlink" Target="https://www.google.com/maps/search/?api=1&amp;query=38.0055608827229,127.245148658335" TargetMode="External"/><Relationship Id="rId8" Type="http://schemas.openxmlformats.org/officeDocument/2006/relationships/hyperlink" Target="https://www.google.com/maps/search/?api=1&amp;query=37.894000235204,128.823428734257" TargetMode="External"/><Relationship Id="rId9" Type="http://schemas.openxmlformats.org/officeDocument/2006/relationships/hyperlink" Target="https://www.google.com/maps/search/?api=1&amp;query=37.5614997515694,127.045327331714" TargetMode="External"/><Relationship Id="rId10" Type="http://schemas.openxmlformats.org/officeDocument/2006/relationships/hyperlink" Target="https://www.google.com/maps/search/?api=1&amp;query=37.894000235204,128.823428734257" TargetMode="External"/><Relationship Id="rId11" Type="http://schemas.openxmlformats.org/officeDocument/2006/relationships/hyperlink" Target="https://www.google.com/maps/search/?api=1&amp;query=37.7026376364433,127.124872496413" TargetMode="External"/><Relationship Id="rId12" Type="http://schemas.openxmlformats.org/officeDocument/2006/relationships/hyperlink" Target="https://www.google.com/maps/search/?api=1&amp;query=37.5417253860375,127.043351028535" TargetMode="External"/><Relationship Id="rId13" Type="http://schemas.openxmlformats.org/officeDocument/2006/relationships/hyperlink" Target="https://www.google.com/maps/search/?api=1&amp;query=37.7021997513878,126.687571455272" TargetMode="External"/><Relationship Id="rId14" Type="http://schemas.openxmlformats.org/officeDocument/2006/relationships/hyperlink" Target="https://www.google.com/maps/search/?api=1&amp;query=37.8149066278176,127.071198217698" TargetMode="External"/><Relationship Id="rId15" Type="http://schemas.openxmlformats.org/officeDocument/2006/relationships/hyperlink" Target="https://www.google.com/maps/search/?api=1&amp;query=37.5464762611363,127.071367614735" TargetMode="External"/><Relationship Id="rId16" Type="http://schemas.openxmlformats.org/officeDocument/2006/relationships/hyperlink" Target="https://www.google.com/maps/search/?api=1&amp;query=37.8025424016272,126.716245034905" TargetMode="External"/><Relationship Id="rId17" Type="http://schemas.openxmlformats.org/officeDocument/2006/relationships/hyperlink" Target="https://www.google.com/maps/search/?api=1&amp;query=37.8025424016272,126.716245034905" TargetMode="External"/><Relationship Id="rId18" Type="http://schemas.openxmlformats.org/officeDocument/2006/relationships/hyperlink" Target="https://www.google.com/maps/search/?api=1&amp;query=37.8025424016272,126.716245034905" TargetMode="External"/><Relationship Id="rId19" Type="http://schemas.openxmlformats.org/officeDocument/2006/relationships/hyperlink" Target="https://www.google.com/maps/search/?api=1&amp;query=37.6943496272332,126.76845159422" TargetMode="External"/><Relationship Id="rId20" Type="http://schemas.openxmlformats.org/officeDocument/2006/relationships/hyperlink" Target="https://www.google.com/maps/search/?api=1&amp;query=37.5464762611363,127.071367614735" TargetMode="External"/><Relationship Id="rId21" Type="http://schemas.openxmlformats.org/officeDocument/2006/relationships/hyperlink" Target="https://www.google.com/maps/search/?api=1&amp;query=37.5963272964126,126.924109745075" TargetMode="External"/><Relationship Id="rId22" Type="http://schemas.openxmlformats.org/officeDocument/2006/relationships/hyperlink" Target="https://www.google.com/maps/search/?api=1&amp;query=37.5963272964126,126.924109745075" TargetMode="External"/><Relationship Id="rId23" Type="http://schemas.openxmlformats.org/officeDocument/2006/relationships/hyperlink" Target="https://www.google.com/maps/search/?api=1&amp;query=37.5963272964126,126.924109745075" TargetMode="External"/><Relationship Id="rId24" Type="http://schemas.openxmlformats.org/officeDocument/2006/relationships/hyperlink" Target="https://www.google.com/maps/search/?api=1&amp;query=37.5963272964126,126.924109745075" TargetMode="External"/><Relationship Id="rId25" Type="http://schemas.openxmlformats.org/officeDocument/2006/relationships/hyperlink" Target="https://www.google.com/maps/search/?api=1&amp;query=37.5963272964126,126.924109745075" TargetMode="External"/><Relationship Id="rId26" Type="http://schemas.openxmlformats.org/officeDocument/2006/relationships/hyperlink" Target="https://www.google.com/maps/search/?api=1&amp;query=37.5963272964126,126.924109745075" TargetMode="External"/><Relationship Id="rId27" Type="http://schemas.openxmlformats.org/officeDocument/2006/relationships/hyperlink" Target="https://www.google.com/maps/search/?api=1&amp;query=37.6594130234868,126.829613718048" TargetMode="External"/><Relationship Id="rId28" Type="http://schemas.openxmlformats.org/officeDocument/2006/relationships/hyperlink" Target="https://www.google.com/maps/search/?api=1&amp;query=38.1246704618065,128.204172526138" TargetMode="External"/><Relationship Id="rId29" Type="http://schemas.openxmlformats.org/officeDocument/2006/relationships/hyperlink" Target="https://www.google.com/maps/search/?api=1&amp;query=38.1246704618065,128.204172526138" TargetMode="External"/><Relationship Id="rId30" Type="http://schemas.openxmlformats.org/officeDocument/2006/relationships/hyperlink" Target="https://www.google.com/maps/search/?api=1&amp;query=37.6700959284217,126.763299407637" TargetMode="External"/><Relationship Id="rId31" Type="http://schemas.openxmlformats.org/officeDocument/2006/relationships/hyperlink" Target="https://www.google.com/maps/search/?api=1&amp;query=37.8025424016272,126.716245034905" TargetMode="External"/><Relationship Id="rId32" Type="http://schemas.openxmlformats.org/officeDocument/2006/relationships/hyperlink" Target="https://www.google.com/maps/search/?api=1&amp;query=37.6829848694341,126.755141409924" TargetMode="External"/><Relationship Id="rId33" Type="http://schemas.openxmlformats.org/officeDocument/2006/relationships/hyperlink" Target="https://www.google.com/maps/search/?api=1&amp;query=37.8565504951624,126.790957897268" TargetMode="External"/><Relationship Id="rId34" Type="http://schemas.openxmlformats.org/officeDocument/2006/relationships/hyperlink" Target="https://www.google.com/maps/search/?api=1&amp;query=37.6004055110661,127.066373060068" TargetMode="External"/><Relationship Id="rId35" Type="http://schemas.openxmlformats.org/officeDocument/2006/relationships/hyperlink" Target="https://www.google.com/maps/search/?api=1&amp;query=37.8981269123829,126.97671505489" TargetMode="External"/><Relationship Id="rId36" Type="http://schemas.openxmlformats.org/officeDocument/2006/relationships/hyperlink" Target="https://www.google.com/maps/search/?api=1&amp;query=37.5741286083151,126.984690612471" TargetMode="External"/><Relationship Id="rId37" Type="http://schemas.openxmlformats.org/officeDocument/2006/relationships/hyperlink" Target="https://www.google.com/maps/search/?api=1&amp;query=37.5537792609497,127.080536887135" TargetMode="External"/><Relationship Id="rId38" Type="http://schemas.openxmlformats.org/officeDocument/2006/relationships/hyperlink" Target="https://www.google.com/maps/search/?api=1&amp;query=37.7141699194512,127.034477959332" TargetMode="External"/><Relationship Id="rId39" Type="http://schemas.openxmlformats.org/officeDocument/2006/relationships/hyperlink" Target="https://www.google.com/maps/search/?api=1&amp;query=37.5502741239801,127.093135225891" TargetMode="External"/><Relationship Id="rId40" Type="http://schemas.openxmlformats.org/officeDocument/2006/relationships/hyperlink" Target="https://www.google.com/maps/search/?api=1&amp;query=37.7403538413428,127.096358976229" TargetMode="External"/><Relationship Id="rId41" Type="http://schemas.openxmlformats.org/officeDocument/2006/relationships/hyperlink" Target="https://www.google.com/maps/search/?api=1&amp;query=37.5769946840177,127.004338052474" TargetMode="External"/><Relationship Id="rId42" Type="http://schemas.openxmlformats.org/officeDocument/2006/relationships/hyperlink" Target="https://www.google.com/maps/search/?api=1&amp;query=37.8246285211534,126.983684913461" TargetMode="External"/><Relationship Id="rId43" Type="http://schemas.openxmlformats.org/officeDocument/2006/relationships/hyperlink" Target="https://www.google.com/maps/search/?api=1&amp;query=37.5620157313143,127.014442188261" TargetMode="External"/><Relationship Id="rId44" Type="http://schemas.openxmlformats.org/officeDocument/2006/relationships/hyperlink" Target="https://www.google.com/maps/search/?api=1&amp;query=37.8200125084859,127.088271333497" TargetMode="External"/><Relationship Id="rId45" Type="http://schemas.openxmlformats.org/officeDocument/2006/relationships/hyperlink" Target="https://www.google.com/maps/search/?api=1&amp;query=37.6546360151584,126.841233504888" TargetMode="External"/><Relationship Id="rId46" Type="http://schemas.openxmlformats.org/officeDocument/2006/relationships/hyperlink" Target="https://www.google.com/maps/search/?api=1&amp;query=37.7375674011586,126.732680218643" TargetMode="External"/><Relationship Id="rId47" Type="http://schemas.openxmlformats.org/officeDocument/2006/relationships/hyperlink" Target="https://www.google.com/maps/search/?api=1&amp;query=37.8169633505851,127.17787549382" TargetMode="External"/><Relationship Id="rId48" Type="http://schemas.openxmlformats.org/officeDocument/2006/relationships/hyperlink" Target="https://www.google.com/maps/search/?api=1&amp;query=37.4907265644956,127.427655549981" TargetMode="External"/><Relationship Id="rId49" Type="http://schemas.openxmlformats.org/officeDocument/2006/relationships/hyperlink" Target="https://www.google.com/maps/search/?api=1&amp;query=37.8025424016272,126.716245034905" TargetMode="External"/><Relationship Id="rId50" Type="http://schemas.openxmlformats.org/officeDocument/2006/relationships/hyperlink" Target="https://www.google.com/maps/search/?api=1&amp;query=37.4889036515229,127.599161344743" TargetMode="External"/><Relationship Id="rId51" Type="http://schemas.openxmlformats.org/officeDocument/2006/relationships/hyperlink" Target="https://www.google.com/maps/search/?api=1&amp;query=37.5402662116134,126.991527297365" TargetMode="External"/><Relationship Id="rId52" Type="http://schemas.openxmlformats.org/officeDocument/2006/relationships/hyperlink" Target="https://www.google.com/maps/search/?api=1&amp;query=37.5743345779563,126.989694095817" TargetMode="External"/><Relationship Id="rId53" Type="http://schemas.openxmlformats.org/officeDocument/2006/relationships/hyperlink" Target="https://www.google.com/maps/search/?api=1&amp;query=37.5806911752014,126.982696745397" TargetMode="External"/><Relationship Id="rId54" Type="http://schemas.openxmlformats.org/officeDocument/2006/relationships/hyperlink" Target="https://www.google.com/maps/search/?api=1&amp;query=37.6564361884886,127.06612372319" TargetMode="External"/><Relationship Id="rId55" Type="http://schemas.openxmlformats.org/officeDocument/2006/relationships/hyperlink" Target="https://www.google.com/maps/search/?api=1&amp;query=37.6267812637117,127.03052775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7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63</v>
      </c>
      <c r="E2">
        <v>52238249</v>
      </c>
      <c r="F2" t="s">
        <v>72</v>
      </c>
      <c r="G2" s="2">
        <v>46022</v>
      </c>
      <c r="H2" t="s">
        <v>127</v>
      </c>
      <c r="I2" t="s">
        <v>128</v>
      </c>
      <c r="K2" t="s">
        <v>131</v>
      </c>
      <c r="L2" t="s">
        <v>133</v>
      </c>
      <c r="M2" t="s">
        <v>134</v>
      </c>
      <c r="O2" t="s">
        <v>138</v>
      </c>
      <c r="P2">
        <v>60</v>
      </c>
      <c r="Q2">
        <v>91</v>
      </c>
      <c r="R2" t="s">
        <v>140</v>
      </c>
      <c r="S2" t="s">
        <v>141</v>
      </c>
      <c r="T2" t="s">
        <v>144</v>
      </c>
      <c r="U2" t="s">
        <v>149</v>
      </c>
      <c r="V2">
        <v>200000</v>
      </c>
      <c r="W2" t="s">
        <v>164</v>
      </c>
      <c r="Y2" t="s">
        <v>190</v>
      </c>
      <c r="Z2" s="2">
        <v>46022</v>
      </c>
      <c r="AA2" s="2">
        <v>46081</v>
      </c>
      <c r="AB2" s="2">
        <v>45806</v>
      </c>
      <c r="AC2" s="2">
        <v>46901</v>
      </c>
      <c r="AE2" t="s">
        <v>241</v>
      </c>
      <c r="AH2" t="s">
        <v>243</v>
      </c>
      <c r="AI2" t="s">
        <v>282</v>
      </c>
      <c r="AJ2" t="s">
        <v>323</v>
      </c>
      <c r="AK2" t="s">
        <v>323</v>
      </c>
      <c r="AL2" t="s">
        <v>323</v>
      </c>
      <c r="AM2" t="s">
        <v>327</v>
      </c>
      <c r="AR2" t="s">
        <v>331</v>
      </c>
      <c r="AS2" t="s">
        <v>338</v>
      </c>
      <c r="AT2" t="s">
        <v>342</v>
      </c>
      <c r="AV2" t="s">
        <v>373</v>
      </c>
      <c r="AW2" s="2">
        <v>46022</v>
      </c>
      <c r="AX2" t="s">
        <v>374</v>
      </c>
      <c r="AY2">
        <v>0</v>
      </c>
      <c r="AZ2" t="s">
        <v>373</v>
      </c>
      <c r="BA2" s="2">
        <v>46022</v>
      </c>
      <c r="BB2" t="s">
        <v>138</v>
      </c>
      <c r="BC2">
        <v>37.6141899645264</v>
      </c>
      <c r="BD2">
        <v>126.920825111083</v>
      </c>
      <c r="BE2" t="s">
        <v>393</v>
      </c>
      <c r="BF2" t="s">
        <v>396</v>
      </c>
      <c r="BG2" t="s">
        <v>414</v>
      </c>
      <c r="BH2" t="s">
        <v>449</v>
      </c>
      <c r="BI2" s="3" t="s">
        <v>487</v>
      </c>
      <c r="BJ2">
        <f>HYPERLINK("https://www.google.com/maps/search/?api=1&amp;query=37.6141899645264,126.920825111083", "길찾기")</f>
        <v>0</v>
      </c>
    </row>
    <row r="3" spans="1:62">
      <c r="A3" t="s">
        <v>62</v>
      </c>
      <c r="B3" t="s">
        <v>63</v>
      </c>
      <c r="E3">
        <v>52238315</v>
      </c>
      <c r="F3" t="s">
        <v>73</v>
      </c>
      <c r="G3" s="2">
        <v>46022</v>
      </c>
      <c r="H3" t="s">
        <v>127</v>
      </c>
      <c r="I3" t="s">
        <v>128</v>
      </c>
      <c r="K3" t="s">
        <v>131</v>
      </c>
      <c r="L3" t="s">
        <v>133</v>
      </c>
      <c r="M3" t="s">
        <v>134</v>
      </c>
      <c r="O3" t="s">
        <v>138</v>
      </c>
      <c r="P3">
        <v>60</v>
      </c>
      <c r="Q3">
        <v>91</v>
      </c>
      <c r="R3" t="s">
        <v>140</v>
      </c>
      <c r="S3" t="s">
        <v>141</v>
      </c>
      <c r="T3" t="s">
        <v>144</v>
      </c>
      <c r="U3" t="s">
        <v>149</v>
      </c>
      <c r="V3">
        <v>200000</v>
      </c>
      <c r="W3" t="s">
        <v>164</v>
      </c>
      <c r="Y3" t="s">
        <v>190</v>
      </c>
      <c r="Z3" s="2">
        <v>46022</v>
      </c>
      <c r="AA3" s="2">
        <v>46081</v>
      </c>
      <c r="AB3" s="2">
        <v>45806</v>
      </c>
      <c r="AC3" s="2">
        <v>46901</v>
      </c>
      <c r="AE3" t="s">
        <v>241</v>
      </c>
      <c r="AH3" t="s">
        <v>243</v>
      </c>
      <c r="AI3" t="s">
        <v>282</v>
      </c>
      <c r="AJ3" t="s">
        <v>323</v>
      </c>
      <c r="AK3" t="s">
        <v>323</v>
      </c>
      <c r="AL3" t="s">
        <v>323</v>
      </c>
      <c r="AM3" t="s">
        <v>327</v>
      </c>
      <c r="AR3" t="s">
        <v>331</v>
      </c>
      <c r="AS3" t="s">
        <v>338</v>
      </c>
      <c r="AT3" t="s">
        <v>342</v>
      </c>
      <c r="AV3" t="s">
        <v>373</v>
      </c>
      <c r="AW3" s="2">
        <v>46022</v>
      </c>
      <c r="AX3" t="s">
        <v>374</v>
      </c>
      <c r="AY3">
        <v>0</v>
      </c>
      <c r="AZ3" t="s">
        <v>373</v>
      </c>
      <c r="BA3" s="2">
        <v>46022</v>
      </c>
      <c r="BB3" t="s">
        <v>138</v>
      </c>
      <c r="BC3">
        <v>37.6141899645264</v>
      </c>
      <c r="BD3">
        <v>126.920825111083</v>
      </c>
      <c r="BE3" t="s">
        <v>393</v>
      </c>
      <c r="BF3" t="s">
        <v>396</v>
      </c>
      <c r="BG3" t="s">
        <v>414</v>
      </c>
      <c r="BH3" t="s">
        <v>449</v>
      </c>
      <c r="BI3" s="3" t="s">
        <v>487</v>
      </c>
      <c r="BJ3">
        <f>HYPERLINK("https://www.google.com/maps/search/?api=1&amp;query=37.6141899645264,126.920825111083", "길찾기")</f>
        <v>0</v>
      </c>
    </row>
    <row r="4" spans="1:62">
      <c r="A4" t="s">
        <v>62</v>
      </c>
      <c r="B4" t="s">
        <v>63</v>
      </c>
      <c r="E4">
        <v>52238328</v>
      </c>
      <c r="F4" t="s">
        <v>74</v>
      </c>
      <c r="G4" s="2">
        <v>46022</v>
      </c>
      <c r="H4" t="s">
        <v>127</v>
      </c>
      <c r="I4" t="s">
        <v>128</v>
      </c>
      <c r="K4" t="s">
        <v>131</v>
      </c>
      <c r="L4" t="s">
        <v>133</v>
      </c>
      <c r="M4" t="s">
        <v>134</v>
      </c>
      <c r="O4" t="s">
        <v>138</v>
      </c>
      <c r="P4">
        <v>60</v>
      </c>
      <c r="Q4">
        <v>91</v>
      </c>
      <c r="R4" t="s">
        <v>140</v>
      </c>
      <c r="S4" t="s">
        <v>141</v>
      </c>
      <c r="T4" t="s">
        <v>144</v>
      </c>
      <c r="U4" t="s">
        <v>149</v>
      </c>
      <c r="V4">
        <v>200000</v>
      </c>
      <c r="W4" t="s">
        <v>164</v>
      </c>
      <c r="Y4" t="s">
        <v>190</v>
      </c>
      <c r="Z4" s="2">
        <v>46022</v>
      </c>
      <c r="AA4" s="2">
        <v>46081</v>
      </c>
      <c r="AB4" s="2">
        <v>45806</v>
      </c>
      <c r="AC4" s="2">
        <v>46901</v>
      </c>
      <c r="AE4" t="s">
        <v>241</v>
      </c>
      <c r="AH4" t="s">
        <v>243</v>
      </c>
      <c r="AI4" t="s">
        <v>282</v>
      </c>
      <c r="AJ4" t="s">
        <v>323</v>
      </c>
      <c r="AK4" t="s">
        <v>323</v>
      </c>
      <c r="AL4" t="s">
        <v>323</v>
      </c>
      <c r="AM4" t="s">
        <v>327</v>
      </c>
      <c r="AR4" t="s">
        <v>331</v>
      </c>
      <c r="AS4" t="s">
        <v>338</v>
      </c>
      <c r="AT4" t="s">
        <v>342</v>
      </c>
      <c r="AV4" t="s">
        <v>373</v>
      </c>
      <c r="AW4" s="2">
        <v>46022</v>
      </c>
      <c r="AX4" t="s">
        <v>374</v>
      </c>
      <c r="AY4">
        <v>0</v>
      </c>
      <c r="AZ4" t="s">
        <v>373</v>
      </c>
      <c r="BA4" s="2">
        <v>46022</v>
      </c>
      <c r="BB4" t="s">
        <v>138</v>
      </c>
      <c r="BC4">
        <v>37.6141899645264</v>
      </c>
      <c r="BD4">
        <v>126.920825111083</v>
      </c>
      <c r="BE4" t="s">
        <v>393</v>
      </c>
      <c r="BF4" t="s">
        <v>396</v>
      </c>
      <c r="BG4" t="s">
        <v>414</v>
      </c>
      <c r="BH4" t="s">
        <v>449</v>
      </c>
      <c r="BI4" s="3" t="s">
        <v>487</v>
      </c>
      <c r="BJ4">
        <f>HYPERLINK("https://www.google.com/maps/search/?api=1&amp;query=37.6141899645264,126.920825111083", "길찾기")</f>
        <v>0</v>
      </c>
    </row>
    <row r="5" spans="1:62">
      <c r="A5" t="s">
        <v>62</v>
      </c>
      <c r="B5" t="s">
        <v>63</v>
      </c>
      <c r="E5">
        <v>52238334</v>
      </c>
      <c r="F5" t="s">
        <v>75</v>
      </c>
      <c r="G5" s="2">
        <v>46022</v>
      </c>
      <c r="H5" t="s">
        <v>127</v>
      </c>
      <c r="I5" t="s">
        <v>128</v>
      </c>
      <c r="K5" t="s">
        <v>131</v>
      </c>
      <c r="L5" t="s">
        <v>133</v>
      </c>
      <c r="M5" t="s">
        <v>134</v>
      </c>
      <c r="O5" t="s">
        <v>138</v>
      </c>
      <c r="P5">
        <v>60</v>
      </c>
      <c r="Q5">
        <v>91</v>
      </c>
      <c r="R5" t="s">
        <v>140</v>
      </c>
      <c r="S5" t="s">
        <v>141</v>
      </c>
      <c r="T5" t="s">
        <v>144</v>
      </c>
      <c r="U5" t="s">
        <v>149</v>
      </c>
      <c r="V5">
        <v>200000</v>
      </c>
      <c r="W5" t="s">
        <v>164</v>
      </c>
      <c r="Y5" t="s">
        <v>190</v>
      </c>
      <c r="Z5" s="2">
        <v>46022</v>
      </c>
      <c r="AA5" s="2">
        <v>46081</v>
      </c>
      <c r="AB5" s="2">
        <v>45806</v>
      </c>
      <c r="AC5" s="2">
        <v>46901</v>
      </c>
      <c r="AE5" t="s">
        <v>241</v>
      </c>
      <c r="AH5" t="s">
        <v>243</v>
      </c>
      <c r="AI5" t="s">
        <v>282</v>
      </c>
      <c r="AJ5" t="s">
        <v>323</v>
      </c>
      <c r="AK5" t="s">
        <v>323</v>
      </c>
      <c r="AL5" t="s">
        <v>323</v>
      </c>
      <c r="AM5" t="s">
        <v>327</v>
      </c>
      <c r="AR5" t="s">
        <v>331</v>
      </c>
      <c r="AS5" t="s">
        <v>338</v>
      </c>
      <c r="AT5" t="s">
        <v>342</v>
      </c>
      <c r="AV5" t="s">
        <v>373</v>
      </c>
      <c r="AW5" s="2">
        <v>46022</v>
      </c>
      <c r="AX5" t="s">
        <v>374</v>
      </c>
      <c r="AY5">
        <v>0</v>
      </c>
      <c r="AZ5" t="s">
        <v>373</v>
      </c>
      <c r="BA5" s="2">
        <v>46022</v>
      </c>
      <c r="BB5" t="s">
        <v>138</v>
      </c>
      <c r="BC5">
        <v>37.6141899645264</v>
      </c>
      <c r="BD5">
        <v>126.920825111083</v>
      </c>
      <c r="BE5" t="s">
        <v>393</v>
      </c>
      <c r="BF5" t="s">
        <v>396</v>
      </c>
      <c r="BG5" t="s">
        <v>414</v>
      </c>
      <c r="BH5" t="s">
        <v>449</v>
      </c>
      <c r="BI5" s="3" t="s">
        <v>487</v>
      </c>
      <c r="BJ5">
        <f>HYPERLINK("https://www.google.com/maps/search/?api=1&amp;query=37.6141899645264,126.920825111083", "길찾기")</f>
        <v>0</v>
      </c>
    </row>
    <row r="6" spans="1:62">
      <c r="A6" t="s">
        <v>62</v>
      </c>
      <c r="B6" t="s">
        <v>63</v>
      </c>
      <c r="E6">
        <v>52238343</v>
      </c>
      <c r="F6" t="s">
        <v>76</v>
      </c>
      <c r="G6" s="2">
        <v>46022</v>
      </c>
      <c r="H6" t="s">
        <v>127</v>
      </c>
      <c r="I6" t="s">
        <v>128</v>
      </c>
      <c r="K6" t="s">
        <v>131</v>
      </c>
      <c r="L6" t="s">
        <v>133</v>
      </c>
      <c r="M6" t="s">
        <v>134</v>
      </c>
      <c r="O6" t="s">
        <v>138</v>
      </c>
      <c r="P6">
        <v>60</v>
      </c>
      <c r="Q6">
        <v>91</v>
      </c>
      <c r="R6" t="s">
        <v>140</v>
      </c>
      <c r="S6" t="s">
        <v>141</v>
      </c>
      <c r="T6" t="s">
        <v>144</v>
      </c>
      <c r="U6" t="s">
        <v>149</v>
      </c>
      <c r="V6">
        <v>200000</v>
      </c>
      <c r="W6" t="s">
        <v>164</v>
      </c>
      <c r="Y6" t="s">
        <v>190</v>
      </c>
      <c r="Z6" s="2">
        <v>46022</v>
      </c>
      <c r="AA6" s="2">
        <v>46081</v>
      </c>
      <c r="AB6" s="2">
        <v>45806</v>
      </c>
      <c r="AC6" s="2">
        <v>46901</v>
      </c>
      <c r="AE6" t="s">
        <v>241</v>
      </c>
      <c r="AH6" t="s">
        <v>243</v>
      </c>
      <c r="AI6" t="s">
        <v>282</v>
      </c>
      <c r="AJ6" t="s">
        <v>323</v>
      </c>
      <c r="AK6" t="s">
        <v>323</v>
      </c>
      <c r="AL6" t="s">
        <v>323</v>
      </c>
      <c r="AM6" t="s">
        <v>327</v>
      </c>
      <c r="AR6" t="s">
        <v>331</v>
      </c>
      <c r="AS6" t="s">
        <v>338</v>
      </c>
      <c r="AT6" t="s">
        <v>342</v>
      </c>
      <c r="AV6" t="s">
        <v>373</v>
      </c>
      <c r="AW6" s="2">
        <v>46022</v>
      </c>
      <c r="AX6" t="s">
        <v>374</v>
      </c>
      <c r="AY6">
        <v>0</v>
      </c>
      <c r="AZ6" t="s">
        <v>373</v>
      </c>
      <c r="BA6" s="2">
        <v>46022</v>
      </c>
      <c r="BB6" t="s">
        <v>138</v>
      </c>
      <c r="BC6">
        <v>37.6141899645264</v>
      </c>
      <c r="BD6">
        <v>126.920825111083</v>
      </c>
      <c r="BE6" t="s">
        <v>393</v>
      </c>
      <c r="BF6" t="s">
        <v>396</v>
      </c>
      <c r="BG6" t="s">
        <v>414</v>
      </c>
      <c r="BH6" t="s">
        <v>449</v>
      </c>
      <c r="BI6" s="3" t="s">
        <v>487</v>
      </c>
      <c r="BJ6">
        <f>HYPERLINK("https://www.google.com/maps/search/?api=1&amp;query=37.6141899645264,126.920825111083", "길찾기")</f>
        <v>0</v>
      </c>
    </row>
    <row r="7" spans="1:62">
      <c r="A7" t="s">
        <v>62</v>
      </c>
      <c r="B7" t="s">
        <v>64</v>
      </c>
      <c r="E7">
        <v>52022989</v>
      </c>
      <c r="F7" t="s">
        <v>77</v>
      </c>
      <c r="G7" s="2">
        <v>46021</v>
      </c>
      <c r="H7" t="s">
        <v>127</v>
      </c>
      <c r="I7" t="s">
        <v>128</v>
      </c>
      <c r="K7" t="s">
        <v>131</v>
      </c>
      <c r="L7" t="s">
        <v>133</v>
      </c>
      <c r="M7" t="s">
        <v>135</v>
      </c>
      <c r="O7" t="s">
        <v>138</v>
      </c>
      <c r="P7">
        <v>61</v>
      </c>
      <c r="Q7">
        <v>92</v>
      </c>
      <c r="R7" t="s">
        <v>140</v>
      </c>
      <c r="S7" t="s">
        <v>141</v>
      </c>
      <c r="T7" t="s">
        <v>145</v>
      </c>
      <c r="U7" t="s">
        <v>150</v>
      </c>
      <c r="V7">
        <v>40000</v>
      </c>
      <c r="W7" t="s">
        <v>165</v>
      </c>
      <c r="X7" t="s">
        <v>188</v>
      </c>
      <c r="Y7" t="s">
        <v>191</v>
      </c>
      <c r="Z7" s="2">
        <v>46021</v>
      </c>
      <c r="AA7" s="2">
        <v>46081</v>
      </c>
      <c r="AB7" s="2">
        <v>45504</v>
      </c>
      <c r="AC7" s="2">
        <v>46598</v>
      </c>
      <c r="AE7" t="s">
        <v>241</v>
      </c>
      <c r="AH7" t="s">
        <v>244</v>
      </c>
      <c r="AI7" t="s">
        <v>283</v>
      </c>
      <c r="AJ7" t="s">
        <v>323</v>
      </c>
      <c r="AK7" t="s">
        <v>323</v>
      </c>
      <c r="AL7" t="s">
        <v>323</v>
      </c>
      <c r="AM7" t="s">
        <v>327</v>
      </c>
      <c r="AR7" t="s">
        <v>331</v>
      </c>
      <c r="AS7" t="s">
        <v>338</v>
      </c>
      <c r="AT7" t="s">
        <v>343</v>
      </c>
      <c r="AV7" t="s">
        <v>373</v>
      </c>
      <c r="AW7" s="2">
        <v>46021</v>
      </c>
      <c r="AX7" t="s">
        <v>375</v>
      </c>
      <c r="AY7">
        <v>0</v>
      </c>
      <c r="AZ7" t="s">
        <v>373</v>
      </c>
      <c r="BA7" s="2">
        <v>46021</v>
      </c>
      <c r="BB7" t="s">
        <v>138</v>
      </c>
      <c r="BC7">
        <v>37.5417253860375</v>
      </c>
      <c r="BD7">
        <v>127.043351028535</v>
      </c>
      <c r="BE7" t="s">
        <v>393</v>
      </c>
      <c r="BF7" t="s">
        <v>397</v>
      </c>
      <c r="BG7" t="s">
        <v>415</v>
      </c>
      <c r="BH7" t="s">
        <v>450</v>
      </c>
      <c r="BI7" s="3" t="s">
        <v>488</v>
      </c>
      <c r="BJ7">
        <f>HYPERLINK("https://www.google.com/maps/search/?api=1&amp;query=37.5417253860375,127.043351028535", "길찾기")</f>
        <v>0</v>
      </c>
    </row>
    <row r="8" spans="1:62">
      <c r="A8" t="s">
        <v>62</v>
      </c>
      <c r="B8" t="s">
        <v>65</v>
      </c>
      <c r="E8">
        <v>52229374</v>
      </c>
      <c r="F8" t="s">
        <v>78</v>
      </c>
      <c r="G8" s="2">
        <v>46021</v>
      </c>
      <c r="H8" t="s">
        <v>127</v>
      </c>
      <c r="I8" t="s">
        <v>128</v>
      </c>
      <c r="K8" t="s">
        <v>131</v>
      </c>
      <c r="L8" t="s">
        <v>133</v>
      </c>
      <c r="M8" t="s">
        <v>135</v>
      </c>
      <c r="O8" t="s">
        <v>138</v>
      </c>
      <c r="P8">
        <v>61</v>
      </c>
      <c r="Q8">
        <v>92</v>
      </c>
      <c r="R8" t="s">
        <v>140</v>
      </c>
      <c r="S8" t="s">
        <v>141</v>
      </c>
      <c r="T8" t="s">
        <v>146</v>
      </c>
      <c r="U8" t="s">
        <v>151</v>
      </c>
      <c r="V8">
        <v>60000</v>
      </c>
      <c r="W8" t="s">
        <v>166</v>
      </c>
      <c r="Y8" t="s">
        <v>192</v>
      </c>
      <c r="Z8" s="2">
        <v>46021</v>
      </c>
      <c r="AA8" s="2">
        <v>46081</v>
      </c>
      <c r="AB8" s="2">
        <v>45793</v>
      </c>
      <c r="AC8" s="2">
        <v>46888</v>
      </c>
      <c r="AE8" t="s">
        <v>241</v>
      </c>
      <c r="AH8" t="s">
        <v>245</v>
      </c>
      <c r="AI8" t="s">
        <v>284</v>
      </c>
      <c r="AJ8" t="s">
        <v>323</v>
      </c>
      <c r="AK8" t="s">
        <v>323</v>
      </c>
      <c r="AL8" t="s">
        <v>323</v>
      </c>
      <c r="AM8" t="s">
        <v>327</v>
      </c>
      <c r="AR8" t="s">
        <v>331</v>
      </c>
      <c r="AS8" t="s">
        <v>339</v>
      </c>
      <c r="AT8" t="s">
        <v>344</v>
      </c>
      <c r="AV8" t="s">
        <v>373</v>
      </c>
      <c r="AW8" s="2">
        <v>46021</v>
      </c>
      <c r="AX8">
        <v>0</v>
      </c>
      <c r="AY8">
        <v>0</v>
      </c>
      <c r="AZ8" t="s">
        <v>373</v>
      </c>
      <c r="BA8" s="2">
        <v>46021</v>
      </c>
      <c r="BB8" t="s">
        <v>138</v>
      </c>
      <c r="BC8">
        <v>38.0055608827229</v>
      </c>
      <c r="BD8">
        <v>127.245148658335</v>
      </c>
      <c r="BE8" t="s">
        <v>394</v>
      </c>
      <c r="BF8" t="s">
        <v>398</v>
      </c>
      <c r="BG8" t="s">
        <v>416</v>
      </c>
      <c r="BH8" t="s">
        <v>451</v>
      </c>
      <c r="BI8" s="3" t="s">
        <v>489</v>
      </c>
      <c r="BJ8">
        <f>HYPERLINK("https://www.google.com/maps/search/?api=1&amp;query=38.0055608827229,127.245148658335", "길찾기")</f>
        <v>0</v>
      </c>
    </row>
    <row r="9" spans="1:62">
      <c r="A9" t="s">
        <v>62</v>
      </c>
      <c r="B9" t="s">
        <v>66</v>
      </c>
      <c r="E9">
        <v>50540614</v>
      </c>
      <c r="F9" t="s">
        <v>79</v>
      </c>
      <c r="G9" s="2">
        <v>46018</v>
      </c>
      <c r="H9" t="s">
        <v>127</v>
      </c>
      <c r="I9" t="s">
        <v>129</v>
      </c>
      <c r="K9" t="s">
        <v>131</v>
      </c>
      <c r="L9" t="s">
        <v>133</v>
      </c>
      <c r="M9" t="s">
        <v>135</v>
      </c>
      <c r="O9" t="s">
        <v>138</v>
      </c>
      <c r="P9">
        <v>64</v>
      </c>
      <c r="Q9">
        <v>95</v>
      </c>
      <c r="R9" t="s">
        <v>140</v>
      </c>
      <c r="S9" t="s">
        <v>141</v>
      </c>
      <c r="T9" t="s">
        <v>145</v>
      </c>
      <c r="U9" t="s">
        <v>152</v>
      </c>
      <c r="V9">
        <v>40000</v>
      </c>
      <c r="W9" t="s">
        <v>167</v>
      </c>
      <c r="Y9" t="s">
        <v>193</v>
      </c>
      <c r="Z9" s="2">
        <v>46018</v>
      </c>
      <c r="AA9" s="2">
        <v>46082</v>
      </c>
      <c r="AB9" s="2">
        <v>45021</v>
      </c>
      <c r="AC9" s="2">
        <v>46116</v>
      </c>
      <c r="AE9" t="s">
        <v>241</v>
      </c>
      <c r="AH9" t="s">
        <v>246</v>
      </c>
      <c r="AI9" t="s">
        <v>285</v>
      </c>
      <c r="AJ9" t="s">
        <v>323</v>
      </c>
      <c r="AK9" t="s">
        <v>323</v>
      </c>
      <c r="AL9" t="s">
        <v>323</v>
      </c>
      <c r="AM9" t="s">
        <v>327</v>
      </c>
      <c r="AR9" t="s">
        <v>331</v>
      </c>
      <c r="AS9" t="s">
        <v>340</v>
      </c>
      <c r="AT9" t="s">
        <v>345</v>
      </c>
      <c r="AU9" t="s">
        <v>372</v>
      </c>
      <c r="AV9" t="s">
        <v>373</v>
      </c>
      <c r="AW9" s="2">
        <v>46018</v>
      </c>
      <c r="AZ9" t="s">
        <v>373</v>
      </c>
      <c r="BA9" s="2">
        <v>46018</v>
      </c>
      <c r="BB9" t="s">
        <v>138</v>
      </c>
      <c r="BC9">
        <v>37.894000235204</v>
      </c>
      <c r="BD9">
        <v>128.823428734257</v>
      </c>
      <c r="BE9" t="s">
        <v>395</v>
      </c>
      <c r="BF9" t="s">
        <v>399</v>
      </c>
      <c r="BG9" t="s">
        <v>417</v>
      </c>
      <c r="BH9" t="s">
        <v>452</v>
      </c>
      <c r="BI9" s="3" t="s">
        <v>490</v>
      </c>
      <c r="BJ9">
        <f>HYPERLINK("https://www.google.com/maps/search/?api=1&amp;query=37.894000235204,128.823428734257", "길찾기")</f>
        <v>0</v>
      </c>
    </row>
    <row r="10" spans="1:62">
      <c r="A10" t="s">
        <v>62</v>
      </c>
      <c r="B10" t="s">
        <v>67</v>
      </c>
      <c r="E10">
        <v>50789484</v>
      </c>
      <c r="F10" t="s">
        <v>80</v>
      </c>
      <c r="G10" s="2">
        <v>46018</v>
      </c>
      <c r="H10" t="s">
        <v>127</v>
      </c>
      <c r="I10" t="s">
        <v>128</v>
      </c>
      <c r="K10" t="s">
        <v>131</v>
      </c>
      <c r="L10" t="s">
        <v>133</v>
      </c>
      <c r="M10" t="s">
        <v>135</v>
      </c>
      <c r="O10" t="s">
        <v>138</v>
      </c>
      <c r="P10">
        <v>64</v>
      </c>
      <c r="Q10">
        <v>95</v>
      </c>
      <c r="R10" t="s">
        <v>140</v>
      </c>
      <c r="S10" t="s">
        <v>141</v>
      </c>
      <c r="T10" t="s">
        <v>145</v>
      </c>
      <c r="U10" t="s">
        <v>153</v>
      </c>
      <c r="V10">
        <v>37000</v>
      </c>
      <c r="W10" t="s">
        <v>168</v>
      </c>
      <c r="Y10" t="s">
        <v>194</v>
      </c>
      <c r="Z10" s="2">
        <v>46018</v>
      </c>
      <c r="AA10" s="2">
        <v>46081</v>
      </c>
      <c r="AB10" s="2">
        <v>45839</v>
      </c>
      <c r="AC10" s="2">
        <v>46203</v>
      </c>
      <c r="AE10" t="s">
        <v>241</v>
      </c>
      <c r="AH10" t="s">
        <v>247</v>
      </c>
      <c r="AI10" t="s">
        <v>286</v>
      </c>
      <c r="AJ10" t="s">
        <v>323</v>
      </c>
      <c r="AK10" t="s">
        <v>323</v>
      </c>
      <c r="AL10" t="s">
        <v>323</v>
      </c>
      <c r="AM10" t="s">
        <v>327</v>
      </c>
      <c r="AR10" t="s">
        <v>331</v>
      </c>
      <c r="AS10" t="s">
        <v>340</v>
      </c>
      <c r="AT10" t="s">
        <v>346</v>
      </c>
      <c r="AV10" t="s">
        <v>373</v>
      </c>
      <c r="AW10" s="2">
        <v>46018</v>
      </c>
      <c r="AX10" t="s">
        <v>376</v>
      </c>
      <c r="AY10">
        <v>0</v>
      </c>
      <c r="AZ10" t="s">
        <v>373</v>
      </c>
      <c r="BA10" s="2">
        <v>46018</v>
      </c>
      <c r="BB10" t="s">
        <v>138</v>
      </c>
      <c r="BC10">
        <v>37.5614997515694</v>
      </c>
      <c r="BD10">
        <v>127.045327331714</v>
      </c>
      <c r="BE10" t="s">
        <v>393</v>
      </c>
      <c r="BF10" t="s">
        <v>397</v>
      </c>
      <c r="BG10" t="s">
        <v>415</v>
      </c>
      <c r="BH10" t="s">
        <v>453</v>
      </c>
      <c r="BI10" s="3" t="s">
        <v>491</v>
      </c>
      <c r="BJ10">
        <f>HYPERLINK("https://www.google.com/maps/search/?api=1&amp;query=37.5614997515694,127.045327331714", "길찾기")</f>
        <v>0</v>
      </c>
    </row>
    <row r="11" spans="1:62">
      <c r="A11" t="s">
        <v>62</v>
      </c>
      <c r="B11" t="s">
        <v>66</v>
      </c>
      <c r="E11">
        <v>51780035</v>
      </c>
      <c r="F11" t="s">
        <v>81</v>
      </c>
      <c r="G11" s="2">
        <v>46018</v>
      </c>
      <c r="H11" t="s">
        <v>127</v>
      </c>
      <c r="I11" t="s">
        <v>128</v>
      </c>
      <c r="K11" t="s">
        <v>131</v>
      </c>
      <c r="L11" t="s">
        <v>133</v>
      </c>
      <c r="M11" t="s">
        <v>134</v>
      </c>
      <c r="O11" t="s">
        <v>138</v>
      </c>
      <c r="P11">
        <v>64</v>
      </c>
      <c r="Q11">
        <v>95</v>
      </c>
      <c r="R11" t="s">
        <v>140</v>
      </c>
      <c r="S11" t="s">
        <v>141</v>
      </c>
      <c r="T11" t="s">
        <v>146</v>
      </c>
      <c r="U11" t="s">
        <v>154</v>
      </c>
      <c r="V11">
        <v>60000</v>
      </c>
      <c r="W11" t="s">
        <v>167</v>
      </c>
      <c r="Y11" t="s">
        <v>193</v>
      </c>
      <c r="Z11" s="2">
        <v>46018</v>
      </c>
      <c r="AA11" s="2">
        <v>46082</v>
      </c>
      <c r="AB11" s="2">
        <v>45021</v>
      </c>
      <c r="AC11" s="2">
        <v>46116</v>
      </c>
      <c r="AE11" t="s">
        <v>241</v>
      </c>
      <c r="AH11" t="s">
        <v>248</v>
      </c>
      <c r="AI11" t="s">
        <v>285</v>
      </c>
      <c r="AJ11" t="s">
        <v>323</v>
      </c>
      <c r="AK11" t="s">
        <v>323</v>
      </c>
      <c r="AL11" t="s">
        <v>323</v>
      </c>
      <c r="AM11" t="s">
        <v>327</v>
      </c>
      <c r="AR11" t="s">
        <v>331</v>
      </c>
      <c r="AS11" t="s">
        <v>340</v>
      </c>
      <c r="AT11" t="s">
        <v>345</v>
      </c>
      <c r="AU11" t="s">
        <v>372</v>
      </c>
      <c r="AV11" t="s">
        <v>373</v>
      </c>
      <c r="AW11" s="2">
        <v>46018</v>
      </c>
      <c r="AZ11" t="s">
        <v>373</v>
      </c>
      <c r="BA11" s="2">
        <v>46018</v>
      </c>
      <c r="BB11" t="s">
        <v>138</v>
      </c>
      <c r="BC11">
        <v>37.894000235204</v>
      </c>
      <c r="BD11">
        <v>128.823428734257</v>
      </c>
      <c r="BE11" t="s">
        <v>395</v>
      </c>
      <c r="BF11" t="s">
        <v>399</v>
      </c>
      <c r="BG11" t="s">
        <v>417</v>
      </c>
      <c r="BH11" t="s">
        <v>452</v>
      </c>
      <c r="BI11" s="3" t="s">
        <v>490</v>
      </c>
      <c r="BJ11">
        <f>HYPERLINK("https://www.google.com/maps/search/?api=1&amp;query=37.894000235204,128.823428734257", "길찾기")</f>
        <v>0</v>
      </c>
    </row>
    <row r="12" spans="1:62">
      <c r="A12" t="s">
        <v>62</v>
      </c>
      <c r="B12" t="s">
        <v>68</v>
      </c>
      <c r="E12">
        <v>51319907</v>
      </c>
      <c r="F12" t="s">
        <v>82</v>
      </c>
      <c r="G12" s="2">
        <v>46016</v>
      </c>
      <c r="H12" t="s">
        <v>127</v>
      </c>
      <c r="I12" t="s">
        <v>128</v>
      </c>
      <c r="K12" t="s">
        <v>131</v>
      </c>
      <c r="L12" t="s">
        <v>133</v>
      </c>
      <c r="M12" t="s">
        <v>134</v>
      </c>
      <c r="O12" t="s">
        <v>138</v>
      </c>
      <c r="P12">
        <v>66</v>
      </c>
      <c r="Q12">
        <v>97</v>
      </c>
      <c r="R12" t="s">
        <v>140</v>
      </c>
      <c r="S12" t="s">
        <v>141</v>
      </c>
      <c r="T12" t="s">
        <v>146</v>
      </c>
      <c r="U12" t="s">
        <v>154</v>
      </c>
      <c r="V12">
        <v>60000</v>
      </c>
      <c r="W12" t="s">
        <v>169</v>
      </c>
      <c r="Y12" t="s">
        <v>195</v>
      </c>
      <c r="Z12" s="2">
        <v>46016</v>
      </c>
      <c r="AA12" s="2">
        <v>46022</v>
      </c>
      <c r="AB12" s="2">
        <v>45962</v>
      </c>
      <c r="AC12" s="2">
        <v>46326</v>
      </c>
      <c r="AE12" t="s">
        <v>241</v>
      </c>
      <c r="AH12" t="s">
        <v>249</v>
      </c>
      <c r="AI12" t="s">
        <v>287</v>
      </c>
      <c r="AJ12" t="s">
        <v>323</v>
      </c>
      <c r="AK12" t="s">
        <v>323</v>
      </c>
      <c r="AL12" t="s">
        <v>323</v>
      </c>
      <c r="AM12" t="s">
        <v>327</v>
      </c>
      <c r="AR12" t="s">
        <v>331</v>
      </c>
      <c r="AS12" t="s">
        <v>338</v>
      </c>
      <c r="AT12" t="s">
        <v>347</v>
      </c>
      <c r="AV12" t="s">
        <v>373</v>
      </c>
      <c r="AW12" s="2">
        <v>46016</v>
      </c>
      <c r="AX12">
        <v>0</v>
      </c>
      <c r="AY12">
        <v>0</v>
      </c>
      <c r="AZ12" t="s">
        <v>373</v>
      </c>
      <c r="BA12" s="2">
        <v>46016</v>
      </c>
      <c r="BB12" t="s">
        <v>138</v>
      </c>
      <c r="BC12">
        <v>37.7026376364433</v>
      </c>
      <c r="BD12">
        <v>127.124872496413</v>
      </c>
      <c r="BE12" t="s">
        <v>394</v>
      </c>
      <c r="BF12" t="s">
        <v>400</v>
      </c>
      <c r="BG12" t="s">
        <v>418</v>
      </c>
      <c r="BH12" t="s">
        <v>454</v>
      </c>
      <c r="BI12" s="3" t="s">
        <v>492</v>
      </c>
      <c r="BJ12">
        <f>HYPERLINK("https://www.google.com/maps/search/?api=1&amp;query=37.7026376364433,127.124872496413", "길찾기")</f>
        <v>0</v>
      </c>
    </row>
    <row r="13" spans="1:62">
      <c r="A13" t="s">
        <v>62</v>
      </c>
      <c r="B13" t="s">
        <v>64</v>
      </c>
      <c r="E13">
        <v>52203092</v>
      </c>
      <c r="F13" t="s">
        <v>83</v>
      </c>
      <c r="G13" s="2">
        <v>46016</v>
      </c>
      <c r="H13" t="s">
        <v>127</v>
      </c>
      <c r="I13" t="s">
        <v>128</v>
      </c>
      <c r="K13" t="s">
        <v>131</v>
      </c>
      <c r="L13" t="s">
        <v>133</v>
      </c>
      <c r="M13" t="s">
        <v>134</v>
      </c>
      <c r="O13" t="s">
        <v>138</v>
      </c>
      <c r="P13">
        <v>66</v>
      </c>
      <c r="Q13">
        <v>97</v>
      </c>
      <c r="R13" t="s">
        <v>140</v>
      </c>
      <c r="S13" t="s">
        <v>141</v>
      </c>
      <c r="T13" t="s">
        <v>146</v>
      </c>
      <c r="U13" t="s">
        <v>155</v>
      </c>
      <c r="V13">
        <v>64000</v>
      </c>
      <c r="W13" t="s">
        <v>165</v>
      </c>
      <c r="X13" t="s">
        <v>188</v>
      </c>
      <c r="Y13" t="s">
        <v>191</v>
      </c>
      <c r="Z13" s="2">
        <v>46016</v>
      </c>
      <c r="AA13" s="2">
        <v>46082</v>
      </c>
      <c r="AB13" s="2">
        <v>45747</v>
      </c>
      <c r="AC13" s="2">
        <v>46842</v>
      </c>
      <c r="AE13" t="s">
        <v>241</v>
      </c>
      <c r="AH13" t="s">
        <v>250</v>
      </c>
      <c r="AI13" t="s">
        <v>288</v>
      </c>
      <c r="AJ13" t="s">
        <v>323</v>
      </c>
      <c r="AK13" t="s">
        <v>323</v>
      </c>
      <c r="AL13" t="s">
        <v>323</v>
      </c>
      <c r="AM13" t="s">
        <v>327</v>
      </c>
      <c r="AR13" t="s">
        <v>331</v>
      </c>
      <c r="AS13" t="s">
        <v>338</v>
      </c>
      <c r="AT13" t="s">
        <v>348</v>
      </c>
      <c r="AV13" t="s">
        <v>373</v>
      </c>
      <c r="AW13" s="2">
        <v>46016</v>
      </c>
      <c r="AZ13" t="s">
        <v>373</v>
      </c>
      <c r="BA13" s="2">
        <v>46016</v>
      </c>
      <c r="BB13" t="s">
        <v>138</v>
      </c>
      <c r="BC13">
        <v>37.5417253860375</v>
      </c>
      <c r="BD13">
        <v>127.043351028535</v>
      </c>
      <c r="BE13" t="s">
        <v>393</v>
      </c>
      <c r="BF13" t="s">
        <v>397</v>
      </c>
      <c r="BG13" t="s">
        <v>415</v>
      </c>
      <c r="BH13" t="s">
        <v>450</v>
      </c>
      <c r="BI13" s="3" t="s">
        <v>488</v>
      </c>
      <c r="BJ13">
        <f>HYPERLINK("https://www.google.com/maps/search/?api=1&amp;query=37.5417253860375,127.043351028535", "길찾기")</f>
        <v>0</v>
      </c>
    </row>
    <row r="14" spans="1:62">
      <c r="A14" t="s">
        <v>62</v>
      </c>
      <c r="B14" t="s">
        <v>69</v>
      </c>
      <c r="E14">
        <v>51535084</v>
      </c>
      <c r="F14" t="s">
        <v>84</v>
      </c>
      <c r="G14" s="2">
        <v>46015</v>
      </c>
      <c r="H14" t="s">
        <v>127</v>
      </c>
      <c r="I14" t="s">
        <v>128</v>
      </c>
      <c r="K14" t="s">
        <v>132</v>
      </c>
      <c r="L14" t="s">
        <v>133</v>
      </c>
      <c r="M14" t="s">
        <v>134</v>
      </c>
      <c r="O14" t="s">
        <v>138</v>
      </c>
      <c r="P14">
        <v>67</v>
      </c>
      <c r="Q14">
        <v>98</v>
      </c>
      <c r="R14" t="s">
        <v>140</v>
      </c>
      <c r="S14" t="s">
        <v>141</v>
      </c>
      <c r="T14" t="s">
        <v>146</v>
      </c>
      <c r="U14" t="s">
        <v>155</v>
      </c>
      <c r="V14">
        <v>70000</v>
      </c>
      <c r="W14" t="s">
        <v>170</v>
      </c>
      <c r="Y14" t="s">
        <v>196</v>
      </c>
      <c r="Z14" s="2">
        <v>46015</v>
      </c>
      <c r="AA14" s="2">
        <v>46046</v>
      </c>
      <c r="AB14" s="2">
        <v>45992</v>
      </c>
      <c r="AC14" s="2">
        <v>46356</v>
      </c>
      <c r="AD14" t="s">
        <v>229</v>
      </c>
      <c r="AE14" t="s">
        <v>241</v>
      </c>
      <c r="AH14" t="s">
        <v>251</v>
      </c>
      <c r="AI14" t="s">
        <v>289</v>
      </c>
      <c r="AJ14" t="s">
        <v>323</v>
      </c>
      <c r="AK14" t="s">
        <v>323</v>
      </c>
      <c r="AL14" t="s">
        <v>323</v>
      </c>
      <c r="AM14" t="s">
        <v>327</v>
      </c>
      <c r="AR14" t="s">
        <v>332</v>
      </c>
      <c r="AS14" t="s">
        <v>338</v>
      </c>
      <c r="AT14" t="s">
        <v>229</v>
      </c>
      <c r="AV14" t="s">
        <v>373</v>
      </c>
      <c r="AW14" s="2">
        <v>46015</v>
      </c>
      <c r="AX14" t="s">
        <v>377</v>
      </c>
      <c r="AY14">
        <v>0</v>
      </c>
      <c r="AZ14" t="s">
        <v>373</v>
      </c>
      <c r="BA14" s="2">
        <v>46015</v>
      </c>
      <c r="BB14" t="s">
        <v>138</v>
      </c>
      <c r="BC14">
        <v>37.7021997513878</v>
      </c>
      <c r="BD14">
        <v>126.687571455272</v>
      </c>
      <c r="BE14" t="s">
        <v>394</v>
      </c>
      <c r="BF14" t="s">
        <v>401</v>
      </c>
      <c r="BG14" t="s">
        <v>419</v>
      </c>
      <c r="BH14" t="s">
        <v>455</v>
      </c>
      <c r="BI14" s="3" t="s">
        <v>493</v>
      </c>
      <c r="BJ14">
        <f>HYPERLINK("https://www.google.com/maps/search/?api=1&amp;query=37.7021997513878,126.687571455272", "길찾기")</f>
        <v>0</v>
      </c>
    </row>
    <row r="15" spans="1:62">
      <c r="A15" t="s">
        <v>62</v>
      </c>
      <c r="B15" t="s">
        <v>65</v>
      </c>
      <c r="E15">
        <v>50750679</v>
      </c>
      <c r="F15" t="s">
        <v>85</v>
      </c>
      <c r="G15" s="2">
        <v>46014</v>
      </c>
      <c r="H15" t="s">
        <v>127</v>
      </c>
      <c r="I15" t="s">
        <v>128</v>
      </c>
      <c r="K15" t="s">
        <v>131</v>
      </c>
      <c r="L15" t="s">
        <v>133</v>
      </c>
      <c r="M15" t="s">
        <v>134</v>
      </c>
      <c r="O15" t="s">
        <v>138</v>
      </c>
      <c r="P15">
        <v>68</v>
      </c>
      <c r="Q15">
        <v>99</v>
      </c>
      <c r="R15" t="s">
        <v>140</v>
      </c>
      <c r="S15" t="s">
        <v>141</v>
      </c>
      <c r="T15" t="s">
        <v>146</v>
      </c>
      <c r="U15" t="s">
        <v>156</v>
      </c>
      <c r="V15">
        <v>54000</v>
      </c>
      <c r="W15" t="s">
        <v>171</v>
      </c>
      <c r="Y15" t="s">
        <v>197</v>
      </c>
      <c r="Z15" s="2">
        <v>46014</v>
      </c>
      <c r="AA15" s="2">
        <v>46022</v>
      </c>
      <c r="AB15" s="2">
        <v>45778</v>
      </c>
      <c r="AC15" s="2">
        <v>46142</v>
      </c>
      <c r="AE15" t="s">
        <v>241</v>
      </c>
      <c r="AF15" t="s">
        <v>242</v>
      </c>
      <c r="AG15" s="2">
        <v>46054</v>
      </c>
      <c r="AH15" t="s">
        <v>252</v>
      </c>
      <c r="AI15" t="s">
        <v>290</v>
      </c>
      <c r="AJ15" t="s">
        <v>323</v>
      </c>
      <c r="AK15" t="s">
        <v>323</v>
      </c>
      <c r="AL15" t="s">
        <v>323</v>
      </c>
      <c r="AM15" t="s">
        <v>327</v>
      </c>
      <c r="AR15" t="s">
        <v>331</v>
      </c>
      <c r="AS15" t="s">
        <v>338</v>
      </c>
      <c r="AT15" t="s">
        <v>349</v>
      </c>
      <c r="AU15" t="s">
        <v>372</v>
      </c>
      <c r="AV15" t="s">
        <v>373</v>
      </c>
      <c r="AW15" s="2">
        <v>46014</v>
      </c>
      <c r="AX15">
        <v>0</v>
      </c>
      <c r="AY15">
        <v>0</v>
      </c>
      <c r="AZ15" t="s">
        <v>373</v>
      </c>
      <c r="BA15" s="2">
        <v>46014</v>
      </c>
      <c r="BB15" t="s">
        <v>138</v>
      </c>
      <c r="BC15">
        <v>37.8149066278176</v>
      </c>
      <c r="BD15">
        <v>127.071198217698</v>
      </c>
      <c r="BE15" t="s">
        <v>394</v>
      </c>
      <c r="BF15" t="s">
        <v>402</v>
      </c>
      <c r="BG15" t="s">
        <v>420</v>
      </c>
      <c r="BH15" t="s">
        <v>456</v>
      </c>
      <c r="BI15" s="3" t="s">
        <v>494</v>
      </c>
      <c r="BJ15">
        <f>HYPERLINK("https://www.google.com/maps/search/?api=1&amp;query=37.8149066278176,127.071198217698", "길찾기")</f>
        <v>0</v>
      </c>
    </row>
    <row r="16" spans="1:62">
      <c r="A16" t="s">
        <v>62</v>
      </c>
      <c r="B16" t="s">
        <v>64</v>
      </c>
      <c r="E16">
        <v>51506419</v>
      </c>
      <c r="F16" t="s">
        <v>86</v>
      </c>
      <c r="G16" s="2">
        <v>46011</v>
      </c>
      <c r="H16" t="s">
        <v>127</v>
      </c>
      <c r="I16" t="s">
        <v>128</v>
      </c>
      <c r="K16" t="s">
        <v>131</v>
      </c>
      <c r="L16" t="s">
        <v>133</v>
      </c>
      <c r="M16" t="s">
        <v>135</v>
      </c>
      <c r="O16" t="s">
        <v>138</v>
      </c>
      <c r="P16">
        <v>71</v>
      </c>
      <c r="Q16">
        <v>102</v>
      </c>
      <c r="R16" t="s">
        <v>140</v>
      </c>
      <c r="S16" t="s">
        <v>141</v>
      </c>
      <c r="T16" t="s">
        <v>145</v>
      </c>
      <c r="U16" t="s">
        <v>153</v>
      </c>
      <c r="V16">
        <v>31000</v>
      </c>
      <c r="W16" t="s">
        <v>165</v>
      </c>
      <c r="X16" t="s">
        <v>188</v>
      </c>
      <c r="Y16" t="s">
        <v>198</v>
      </c>
      <c r="Z16" s="2">
        <v>46011</v>
      </c>
      <c r="AA16" s="2">
        <v>46022</v>
      </c>
      <c r="AB16" s="2">
        <v>45931</v>
      </c>
      <c r="AC16" s="2">
        <v>46295</v>
      </c>
      <c r="AE16" t="s">
        <v>241</v>
      </c>
      <c r="AH16" t="s">
        <v>253</v>
      </c>
      <c r="AI16" t="s">
        <v>291</v>
      </c>
      <c r="AJ16" t="s">
        <v>323</v>
      </c>
      <c r="AK16" t="s">
        <v>323</v>
      </c>
      <c r="AL16" t="s">
        <v>323</v>
      </c>
      <c r="AM16" t="s">
        <v>327</v>
      </c>
      <c r="AR16" t="s">
        <v>331</v>
      </c>
      <c r="AS16" t="s">
        <v>338</v>
      </c>
      <c r="AT16" t="s">
        <v>350</v>
      </c>
      <c r="AV16" t="s">
        <v>373</v>
      </c>
      <c r="AW16" s="2">
        <v>46011</v>
      </c>
      <c r="AX16" t="s">
        <v>375</v>
      </c>
      <c r="AY16">
        <v>0</v>
      </c>
      <c r="AZ16" t="s">
        <v>373</v>
      </c>
      <c r="BA16" s="2">
        <v>46011</v>
      </c>
      <c r="BB16" t="s">
        <v>138</v>
      </c>
      <c r="BC16">
        <v>37.5464762611363</v>
      </c>
      <c r="BD16">
        <v>127.071367614735</v>
      </c>
      <c r="BE16" t="s">
        <v>393</v>
      </c>
      <c r="BF16" t="s">
        <v>403</v>
      </c>
      <c r="BG16" t="s">
        <v>421</v>
      </c>
      <c r="BH16" t="s">
        <v>457</v>
      </c>
      <c r="BI16" s="3" t="s">
        <v>495</v>
      </c>
      <c r="BJ16">
        <f>HYPERLINK("https://www.google.com/maps/search/?api=1&amp;query=37.5464762611363,127.071367614735", "길찾기")</f>
        <v>0</v>
      </c>
    </row>
    <row r="17" spans="1:62">
      <c r="A17" t="s">
        <v>62</v>
      </c>
      <c r="B17" t="s">
        <v>69</v>
      </c>
      <c r="E17">
        <v>50225811</v>
      </c>
      <c r="F17" t="s">
        <v>87</v>
      </c>
      <c r="G17" s="2">
        <v>46009</v>
      </c>
      <c r="H17" t="s">
        <v>127</v>
      </c>
      <c r="I17" t="s">
        <v>128</v>
      </c>
      <c r="K17" t="s">
        <v>132</v>
      </c>
      <c r="L17" t="s">
        <v>133</v>
      </c>
      <c r="M17" t="s">
        <v>134</v>
      </c>
      <c r="O17" t="s">
        <v>138</v>
      </c>
      <c r="P17">
        <v>73</v>
      </c>
      <c r="Q17">
        <v>104</v>
      </c>
      <c r="R17" t="s">
        <v>140</v>
      </c>
      <c r="S17" t="s">
        <v>141</v>
      </c>
      <c r="T17" t="s">
        <v>147</v>
      </c>
      <c r="U17" t="s">
        <v>157</v>
      </c>
      <c r="V17">
        <v>81500</v>
      </c>
      <c r="W17" t="s">
        <v>172</v>
      </c>
      <c r="Y17" t="s">
        <v>199</v>
      </c>
      <c r="Z17" s="2">
        <v>46009</v>
      </c>
      <c r="AA17" s="2">
        <v>46070</v>
      </c>
      <c r="AB17" s="2">
        <v>46055</v>
      </c>
      <c r="AC17" s="2">
        <v>46419</v>
      </c>
      <c r="AD17" t="s">
        <v>230</v>
      </c>
      <c r="AE17" t="s">
        <v>241</v>
      </c>
      <c r="AH17" t="s">
        <v>254</v>
      </c>
      <c r="AI17" t="s">
        <v>292</v>
      </c>
      <c r="AJ17" t="s">
        <v>323</v>
      </c>
      <c r="AK17" t="s">
        <v>323</v>
      </c>
      <c r="AL17" t="s">
        <v>323</v>
      </c>
      <c r="AM17" t="s">
        <v>327</v>
      </c>
      <c r="AR17" t="s">
        <v>332</v>
      </c>
      <c r="AS17" t="s">
        <v>338</v>
      </c>
      <c r="AT17" t="s">
        <v>230</v>
      </c>
      <c r="AV17" t="s">
        <v>373</v>
      </c>
      <c r="AW17" s="2">
        <v>46009</v>
      </c>
      <c r="AX17" t="s">
        <v>378</v>
      </c>
      <c r="AY17">
        <v>0</v>
      </c>
      <c r="AZ17" t="s">
        <v>373</v>
      </c>
      <c r="BA17" s="2">
        <v>46009</v>
      </c>
      <c r="BB17" t="s">
        <v>392</v>
      </c>
      <c r="BC17">
        <v>37.8025424016272</v>
      </c>
      <c r="BD17">
        <v>126.716245034905</v>
      </c>
      <c r="BE17" t="s">
        <v>394</v>
      </c>
      <c r="BF17" t="s">
        <v>401</v>
      </c>
      <c r="BG17" t="s">
        <v>422</v>
      </c>
      <c r="BH17" t="s">
        <v>458</v>
      </c>
      <c r="BI17" s="3" t="s">
        <v>496</v>
      </c>
      <c r="BJ17">
        <f>HYPERLINK("https://www.google.com/maps/search/?api=1&amp;query=37.8025424016272,126.716245034905", "길찾기")</f>
        <v>0</v>
      </c>
    </row>
    <row r="18" spans="1:62">
      <c r="A18" t="s">
        <v>62</v>
      </c>
      <c r="B18" t="s">
        <v>69</v>
      </c>
      <c r="E18">
        <v>50225811</v>
      </c>
      <c r="F18" t="s">
        <v>87</v>
      </c>
      <c r="G18" s="2">
        <v>46009</v>
      </c>
      <c r="H18" t="s">
        <v>127</v>
      </c>
      <c r="I18" t="s">
        <v>128</v>
      </c>
      <c r="K18" t="s">
        <v>132</v>
      </c>
      <c r="L18" t="s">
        <v>133</v>
      </c>
      <c r="M18" t="s">
        <v>134</v>
      </c>
      <c r="O18" t="s">
        <v>138</v>
      </c>
      <c r="P18">
        <v>73</v>
      </c>
      <c r="Q18">
        <v>104</v>
      </c>
      <c r="R18" t="s">
        <v>140</v>
      </c>
      <c r="S18" t="s">
        <v>141</v>
      </c>
      <c r="T18" t="s">
        <v>145</v>
      </c>
      <c r="U18" t="s">
        <v>158</v>
      </c>
      <c r="V18">
        <v>43464</v>
      </c>
      <c r="W18" t="s">
        <v>172</v>
      </c>
      <c r="Y18" t="s">
        <v>199</v>
      </c>
      <c r="Z18" s="2">
        <v>46009</v>
      </c>
      <c r="AA18" s="2">
        <v>46070</v>
      </c>
      <c r="AB18" s="2">
        <v>46055</v>
      </c>
      <c r="AC18" s="2">
        <v>46419</v>
      </c>
      <c r="AD18" t="s">
        <v>230</v>
      </c>
      <c r="AE18" t="s">
        <v>241</v>
      </c>
      <c r="AH18" t="s">
        <v>254</v>
      </c>
      <c r="AI18" t="s">
        <v>292</v>
      </c>
      <c r="AJ18" t="s">
        <v>323</v>
      </c>
      <c r="AK18" t="s">
        <v>323</v>
      </c>
      <c r="AL18" t="s">
        <v>323</v>
      </c>
      <c r="AM18" t="s">
        <v>327</v>
      </c>
      <c r="AR18" t="s">
        <v>332</v>
      </c>
      <c r="AS18" t="s">
        <v>338</v>
      </c>
      <c r="AT18" t="s">
        <v>230</v>
      </c>
      <c r="AV18" t="s">
        <v>373</v>
      </c>
      <c r="AW18" s="2">
        <v>46009</v>
      </c>
      <c r="AX18" t="s">
        <v>378</v>
      </c>
      <c r="AY18">
        <v>0</v>
      </c>
      <c r="AZ18" t="s">
        <v>373</v>
      </c>
      <c r="BA18" s="2">
        <v>46009</v>
      </c>
      <c r="BB18" t="s">
        <v>392</v>
      </c>
      <c r="BC18">
        <v>37.8025424016272</v>
      </c>
      <c r="BD18">
        <v>126.716245034905</v>
      </c>
      <c r="BE18" t="s">
        <v>394</v>
      </c>
      <c r="BF18" t="s">
        <v>401</v>
      </c>
      <c r="BG18" t="s">
        <v>422</v>
      </c>
      <c r="BH18" t="s">
        <v>458</v>
      </c>
      <c r="BI18" s="3" t="s">
        <v>496</v>
      </c>
      <c r="BJ18">
        <f>HYPERLINK("https://www.google.com/maps/search/?api=1&amp;query=37.8025424016272,126.716245034905", "길찾기")</f>
        <v>0</v>
      </c>
    </row>
    <row r="19" spans="1:62">
      <c r="A19" t="s">
        <v>62</v>
      </c>
      <c r="B19" t="s">
        <v>69</v>
      </c>
      <c r="E19">
        <v>50724390</v>
      </c>
      <c r="F19" t="s">
        <v>88</v>
      </c>
      <c r="G19" s="2">
        <v>46009</v>
      </c>
      <c r="H19" t="s">
        <v>127</v>
      </c>
      <c r="I19" t="s">
        <v>128</v>
      </c>
      <c r="K19" t="s">
        <v>132</v>
      </c>
      <c r="L19" t="s">
        <v>133</v>
      </c>
      <c r="M19" t="s">
        <v>134</v>
      </c>
      <c r="O19" t="s">
        <v>138</v>
      </c>
      <c r="P19">
        <v>73</v>
      </c>
      <c r="Q19">
        <v>104</v>
      </c>
      <c r="R19" t="s">
        <v>140</v>
      </c>
      <c r="S19" t="s">
        <v>141</v>
      </c>
      <c r="T19" t="s">
        <v>146</v>
      </c>
      <c r="U19" t="s">
        <v>157</v>
      </c>
      <c r="V19">
        <v>67500</v>
      </c>
      <c r="W19" t="s">
        <v>172</v>
      </c>
      <c r="Y19" t="s">
        <v>199</v>
      </c>
      <c r="Z19" s="2">
        <v>46009</v>
      </c>
      <c r="AA19" s="2">
        <v>46070</v>
      </c>
      <c r="AB19" s="2">
        <v>46055</v>
      </c>
      <c r="AC19" s="2">
        <v>46419</v>
      </c>
      <c r="AD19" t="s">
        <v>230</v>
      </c>
      <c r="AE19" t="s">
        <v>241</v>
      </c>
      <c r="AH19" t="s">
        <v>254</v>
      </c>
      <c r="AI19" t="s">
        <v>293</v>
      </c>
      <c r="AJ19" t="s">
        <v>323</v>
      </c>
      <c r="AK19" t="s">
        <v>323</v>
      </c>
      <c r="AL19" t="s">
        <v>323</v>
      </c>
      <c r="AM19" t="s">
        <v>327</v>
      </c>
      <c r="AR19" t="s">
        <v>332</v>
      </c>
      <c r="AS19" t="s">
        <v>338</v>
      </c>
      <c r="AT19" t="s">
        <v>230</v>
      </c>
      <c r="AV19" t="s">
        <v>373</v>
      </c>
      <c r="AW19" s="2">
        <v>46009</v>
      </c>
      <c r="AX19" t="s">
        <v>378</v>
      </c>
      <c r="AY19">
        <v>0</v>
      </c>
      <c r="AZ19" t="s">
        <v>373</v>
      </c>
      <c r="BA19" s="2">
        <v>46009</v>
      </c>
      <c r="BB19" t="s">
        <v>138</v>
      </c>
      <c r="BC19">
        <v>37.8025424016272</v>
      </c>
      <c r="BD19">
        <v>126.716245034905</v>
      </c>
      <c r="BE19" t="s">
        <v>394</v>
      </c>
      <c r="BF19" t="s">
        <v>401</v>
      </c>
      <c r="BG19" t="s">
        <v>422</v>
      </c>
      <c r="BH19" t="s">
        <v>458</v>
      </c>
      <c r="BI19" s="3" t="s">
        <v>496</v>
      </c>
      <c r="BJ19">
        <f>HYPERLINK("https://www.google.com/maps/search/?api=1&amp;query=37.8025424016272,126.716245034905", "길찾기")</f>
        <v>0</v>
      </c>
    </row>
    <row r="20" spans="1:62">
      <c r="A20" t="s">
        <v>62</v>
      </c>
      <c r="B20" t="s">
        <v>69</v>
      </c>
      <c r="E20">
        <v>51582407</v>
      </c>
      <c r="F20" t="s">
        <v>89</v>
      </c>
      <c r="G20" s="2">
        <v>46009</v>
      </c>
      <c r="H20" t="s">
        <v>127</v>
      </c>
      <c r="I20" t="s">
        <v>128</v>
      </c>
      <c r="K20" t="s">
        <v>131</v>
      </c>
      <c r="L20" t="s">
        <v>133</v>
      </c>
      <c r="M20" t="s">
        <v>134</v>
      </c>
      <c r="O20" t="s">
        <v>138</v>
      </c>
      <c r="P20">
        <v>73</v>
      </c>
      <c r="Q20">
        <v>104</v>
      </c>
      <c r="R20" t="s">
        <v>140</v>
      </c>
      <c r="S20" t="s">
        <v>141</v>
      </c>
      <c r="T20" t="s">
        <v>146</v>
      </c>
      <c r="U20" t="s">
        <v>155</v>
      </c>
      <c r="V20">
        <v>55000</v>
      </c>
      <c r="W20" t="s">
        <v>173</v>
      </c>
      <c r="Y20" t="s">
        <v>200</v>
      </c>
      <c r="Z20" s="2">
        <v>46009</v>
      </c>
      <c r="AA20" s="2">
        <v>46022</v>
      </c>
      <c r="AB20" s="2">
        <v>46055</v>
      </c>
      <c r="AC20" s="2">
        <v>46419</v>
      </c>
      <c r="AE20" t="s">
        <v>241</v>
      </c>
      <c r="AH20" t="s">
        <v>248</v>
      </c>
      <c r="AI20" t="s">
        <v>294</v>
      </c>
      <c r="AJ20" t="s">
        <v>323</v>
      </c>
      <c r="AK20" t="s">
        <v>323</v>
      </c>
      <c r="AL20" t="s">
        <v>323</v>
      </c>
      <c r="AM20" t="s">
        <v>327</v>
      </c>
      <c r="AR20" t="s">
        <v>331</v>
      </c>
      <c r="AS20" t="s">
        <v>340</v>
      </c>
      <c r="AT20" t="s">
        <v>351</v>
      </c>
      <c r="AV20" t="s">
        <v>373</v>
      </c>
      <c r="AW20" s="2">
        <v>46009</v>
      </c>
      <c r="AX20" t="s">
        <v>379</v>
      </c>
      <c r="AY20">
        <v>0</v>
      </c>
      <c r="AZ20" t="s">
        <v>373</v>
      </c>
      <c r="BA20" s="2">
        <v>46009</v>
      </c>
      <c r="BB20" t="s">
        <v>138</v>
      </c>
      <c r="BC20">
        <v>37.6943496272332</v>
      </c>
      <c r="BD20">
        <v>126.76845159422</v>
      </c>
      <c r="BE20" t="s">
        <v>394</v>
      </c>
      <c r="BF20" t="s">
        <v>404</v>
      </c>
      <c r="BG20" t="s">
        <v>423</v>
      </c>
      <c r="BH20" t="s">
        <v>459</v>
      </c>
      <c r="BI20" s="3" t="s">
        <v>497</v>
      </c>
      <c r="BJ20">
        <f>HYPERLINK("https://www.google.com/maps/search/?api=1&amp;query=37.6943496272332,126.76845159422", "길찾기")</f>
        <v>0</v>
      </c>
    </row>
    <row r="21" spans="1:62">
      <c r="A21" t="s">
        <v>62</v>
      </c>
      <c r="B21" t="s">
        <v>64</v>
      </c>
      <c r="E21">
        <v>51991873</v>
      </c>
      <c r="F21" t="s">
        <v>90</v>
      </c>
      <c r="G21" s="2">
        <v>46009</v>
      </c>
      <c r="H21" t="s">
        <v>127</v>
      </c>
      <c r="I21" t="s">
        <v>128</v>
      </c>
      <c r="K21" t="s">
        <v>131</v>
      </c>
      <c r="L21" t="s">
        <v>133</v>
      </c>
      <c r="M21" t="s">
        <v>134</v>
      </c>
      <c r="O21" t="s">
        <v>138</v>
      </c>
      <c r="P21">
        <v>73</v>
      </c>
      <c r="Q21">
        <v>104</v>
      </c>
      <c r="R21" t="s">
        <v>140</v>
      </c>
      <c r="S21" t="s">
        <v>141</v>
      </c>
      <c r="T21" t="s">
        <v>148</v>
      </c>
      <c r="U21" t="s">
        <v>159</v>
      </c>
      <c r="V21">
        <v>220000</v>
      </c>
      <c r="W21" t="s">
        <v>165</v>
      </c>
      <c r="X21" t="s">
        <v>188</v>
      </c>
      <c r="Y21" t="s">
        <v>198</v>
      </c>
      <c r="Z21" s="2">
        <v>46009</v>
      </c>
      <c r="AA21" s="2">
        <v>46057</v>
      </c>
      <c r="AB21" s="2">
        <v>45443</v>
      </c>
      <c r="AC21" s="2">
        <v>46537</v>
      </c>
      <c r="AE21" t="s">
        <v>241</v>
      </c>
      <c r="AH21" t="s">
        <v>255</v>
      </c>
      <c r="AI21" t="s">
        <v>295</v>
      </c>
      <c r="AJ21" t="s">
        <v>323</v>
      </c>
      <c r="AK21" t="s">
        <v>323</v>
      </c>
      <c r="AL21" t="s">
        <v>323</v>
      </c>
      <c r="AM21" t="s">
        <v>327</v>
      </c>
      <c r="AR21" t="s">
        <v>331</v>
      </c>
      <c r="AS21" t="s">
        <v>340</v>
      </c>
      <c r="AT21" t="s">
        <v>352</v>
      </c>
      <c r="AV21" t="s">
        <v>373</v>
      </c>
      <c r="AW21" s="2">
        <v>46009</v>
      </c>
      <c r="AX21" t="s">
        <v>375</v>
      </c>
      <c r="AY21">
        <v>0</v>
      </c>
      <c r="AZ21" t="s">
        <v>373</v>
      </c>
      <c r="BA21" s="2">
        <v>46009</v>
      </c>
      <c r="BB21" t="s">
        <v>138</v>
      </c>
      <c r="BC21">
        <v>37.5464762611363</v>
      </c>
      <c r="BD21">
        <v>127.071367614735</v>
      </c>
      <c r="BE21" t="s">
        <v>393</v>
      </c>
      <c r="BF21" t="s">
        <v>403</v>
      </c>
      <c r="BG21" t="s">
        <v>421</v>
      </c>
      <c r="BH21" t="s">
        <v>457</v>
      </c>
      <c r="BI21" s="3" t="s">
        <v>495</v>
      </c>
      <c r="BJ21">
        <f>HYPERLINK("https://www.google.com/maps/search/?api=1&amp;query=37.5464762611363,127.071367614735", "길찾기")</f>
        <v>0</v>
      </c>
    </row>
    <row r="22" spans="1:62">
      <c r="A22" t="s">
        <v>62</v>
      </c>
      <c r="B22" t="s">
        <v>63</v>
      </c>
      <c r="E22">
        <v>52177715</v>
      </c>
      <c r="F22" t="s">
        <v>91</v>
      </c>
      <c r="G22" s="2">
        <v>46009</v>
      </c>
      <c r="H22" t="s">
        <v>127</v>
      </c>
      <c r="I22" t="s">
        <v>128</v>
      </c>
      <c r="K22" t="s">
        <v>131</v>
      </c>
      <c r="L22" t="s">
        <v>133</v>
      </c>
      <c r="M22" t="s">
        <v>134</v>
      </c>
      <c r="O22" t="s">
        <v>138</v>
      </c>
      <c r="P22">
        <v>73</v>
      </c>
      <c r="Q22">
        <v>104</v>
      </c>
      <c r="R22" t="s">
        <v>140</v>
      </c>
      <c r="S22" t="s">
        <v>141</v>
      </c>
      <c r="T22" t="s">
        <v>144</v>
      </c>
      <c r="U22" t="s">
        <v>160</v>
      </c>
      <c r="V22">
        <v>170000</v>
      </c>
      <c r="W22" t="s">
        <v>164</v>
      </c>
      <c r="Y22" t="s">
        <v>201</v>
      </c>
      <c r="Z22" s="2">
        <v>46009</v>
      </c>
      <c r="AA22" s="2">
        <v>46022</v>
      </c>
      <c r="AB22" s="2">
        <v>45681</v>
      </c>
      <c r="AC22" s="2">
        <v>46775</v>
      </c>
      <c r="AE22" t="s">
        <v>241</v>
      </c>
      <c r="AH22" t="s">
        <v>256</v>
      </c>
      <c r="AI22" t="s">
        <v>296</v>
      </c>
      <c r="AJ22" t="s">
        <v>323</v>
      </c>
      <c r="AK22" t="s">
        <v>323</v>
      </c>
      <c r="AL22" t="s">
        <v>323</v>
      </c>
      <c r="AM22" t="s">
        <v>327</v>
      </c>
      <c r="AR22" t="s">
        <v>331</v>
      </c>
      <c r="AS22" t="s">
        <v>338</v>
      </c>
      <c r="AT22" t="s">
        <v>353</v>
      </c>
      <c r="AV22" t="s">
        <v>373</v>
      </c>
      <c r="AW22" s="2">
        <v>46009</v>
      </c>
      <c r="AX22" t="s">
        <v>374</v>
      </c>
      <c r="AY22">
        <v>0</v>
      </c>
      <c r="AZ22" t="s">
        <v>373</v>
      </c>
      <c r="BA22" s="2">
        <v>46009</v>
      </c>
      <c r="BB22" t="s">
        <v>138</v>
      </c>
      <c r="BC22">
        <v>37.5963272964126</v>
      </c>
      <c r="BD22">
        <v>126.924109745075</v>
      </c>
      <c r="BE22" t="s">
        <v>393</v>
      </c>
      <c r="BF22" t="s">
        <v>396</v>
      </c>
      <c r="BG22" t="s">
        <v>424</v>
      </c>
      <c r="BH22" t="s">
        <v>460</v>
      </c>
      <c r="BI22" s="3" t="s">
        <v>498</v>
      </c>
      <c r="BJ22">
        <f>HYPERLINK("https://www.google.com/maps/search/?api=1&amp;query=37.5963272964126,126.924109745075", "길찾기")</f>
        <v>0</v>
      </c>
    </row>
    <row r="23" spans="1:62">
      <c r="A23" t="s">
        <v>62</v>
      </c>
      <c r="B23" t="s">
        <v>63</v>
      </c>
      <c r="E23">
        <v>52177720</v>
      </c>
      <c r="F23" t="s">
        <v>92</v>
      </c>
      <c r="G23" s="2">
        <v>46009</v>
      </c>
      <c r="H23" t="s">
        <v>127</v>
      </c>
      <c r="I23" t="s">
        <v>128</v>
      </c>
      <c r="K23" t="s">
        <v>131</v>
      </c>
      <c r="L23" t="s">
        <v>133</v>
      </c>
      <c r="M23" t="s">
        <v>134</v>
      </c>
      <c r="O23" t="s">
        <v>138</v>
      </c>
      <c r="P23">
        <v>73</v>
      </c>
      <c r="Q23">
        <v>104</v>
      </c>
      <c r="R23" t="s">
        <v>140</v>
      </c>
      <c r="S23" t="s">
        <v>141</v>
      </c>
      <c r="T23" t="s">
        <v>144</v>
      </c>
      <c r="U23" t="s">
        <v>160</v>
      </c>
      <c r="V23">
        <v>170000</v>
      </c>
      <c r="W23" t="s">
        <v>164</v>
      </c>
      <c r="Y23" t="s">
        <v>201</v>
      </c>
      <c r="Z23" s="2">
        <v>46009</v>
      </c>
      <c r="AA23" s="2">
        <v>46022</v>
      </c>
      <c r="AB23" s="2">
        <v>45681</v>
      </c>
      <c r="AC23" s="2">
        <v>46775</v>
      </c>
      <c r="AE23" t="s">
        <v>241</v>
      </c>
      <c r="AH23" t="s">
        <v>256</v>
      </c>
      <c r="AI23" t="s">
        <v>297</v>
      </c>
      <c r="AJ23" t="s">
        <v>323</v>
      </c>
      <c r="AK23" t="s">
        <v>323</v>
      </c>
      <c r="AL23" t="s">
        <v>323</v>
      </c>
      <c r="AM23" t="s">
        <v>327</v>
      </c>
      <c r="AR23" t="s">
        <v>331</v>
      </c>
      <c r="AS23" t="s">
        <v>338</v>
      </c>
      <c r="AT23" t="s">
        <v>353</v>
      </c>
      <c r="AV23" t="s">
        <v>373</v>
      </c>
      <c r="AW23" s="2">
        <v>46009</v>
      </c>
      <c r="AX23" t="s">
        <v>374</v>
      </c>
      <c r="AY23">
        <v>0</v>
      </c>
      <c r="AZ23" t="s">
        <v>373</v>
      </c>
      <c r="BA23" s="2">
        <v>46009</v>
      </c>
      <c r="BB23" t="s">
        <v>138</v>
      </c>
      <c r="BC23">
        <v>37.5963272964126</v>
      </c>
      <c r="BD23">
        <v>126.924109745075</v>
      </c>
      <c r="BE23" t="s">
        <v>393</v>
      </c>
      <c r="BF23" t="s">
        <v>396</v>
      </c>
      <c r="BG23" t="s">
        <v>424</v>
      </c>
      <c r="BH23" t="s">
        <v>460</v>
      </c>
      <c r="BI23" s="3" t="s">
        <v>498</v>
      </c>
      <c r="BJ23">
        <f>HYPERLINK("https://www.google.com/maps/search/?api=1&amp;query=37.5963272964126,126.924109745075", "길찾기")</f>
        <v>0</v>
      </c>
    </row>
    <row r="24" spans="1:62">
      <c r="A24" t="s">
        <v>62</v>
      </c>
      <c r="B24" t="s">
        <v>63</v>
      </c>
      <c r="E24">
        <v>52177762</v>
      </c>
      <c r="F24" t="s">
        <v>93</v>
      </c>
      <c r="G24" s="2">
        <v>46009</v>
      </c>
      <c r="H24" t="s">
        <v>127</v>
      </c>
      <c r="I24" t="s">
        <v>128</v>
      </c>
      <c r="K24" t="s">
        <v>131</v>
      </c>
      <c r="L24" t="s">
        <v>133</v>
      </c>
      <c r="M24" t="s">
        <v>134</v>
      </c>
      <c r="O24" t="s">
        <v>138</v>
      </c>
      <c r="P24">
        <v>73</v>
      </c>
      <c r="Q24">
        <v>104</v>
      </c>
      <c r="R24" t="s">
        <v>140</v>
      </c>
      <c r="S24" t="s">
        <v>141</v>
      </c>
      <c r="T24" t="s">
        <v>144</v>
      </c>
      <c r="U24" t="s">
        <v>160</v>
      </c>
      <c r="V24">
        <v>170000</v>
      </c>
      <c r="W24" t="s">
        <v>164</v>
      </c>
      <c r="Y24" t="s">
        <v>201</v>
      </c>
      <c r="Z24" s="2">
        <v>46009</v>
      </c>
      <c r="AA24" s="2">
        <v>46022</v>
      </c>
      <c r="AB24" s="2">
        <v>45681</v>
      </c>
      <c r="AC24" s="2">
        <v>46775</v>
      </c>
      <c r="AE24" t="s">
        <v>241</v>
      </c>
      <c r="AH24" t="s">
        <v>257</v>
      </c>
      <c r="AI24" t="s">
        <v>296</v>
      </c>
      <c r="AJ24" t="s">
        <v>323</v>
      </c>
      <c r="AK24" t="s">
        <v>323</v>
      </c>
      <c r="AL24" t="s">
        <v>323</v>
      </c>
      <c r="AM24" t="s">
        <v>327</v>
      </c>
      <c r="AR24" t="s">
        <v>331</v>
      </c>
      <c r="AS24" t="s">
        <v>338</v>
      </c>
      <c r="AT24" t="s">
        <v>353</v>
      </c>
      <c r="AV24" t="s">
        <v>373</v>
      </c>
      <c r="AW24" s="2">
        <v>46009</v>
      </c>
      <c r="AX24" t="s">
        <v>374</v>
      </c>
      <c r="AY24">
        <v>0</v>
      </c>
      <c r="AZ24" t="s">
        <v>373</v>
      </c>
      <c r="BA24" s="2">
        <v>46009</v>
      </c>
      <c r="BB24" t="s">
        <v>138</v>
      </c>
      <c r="BC24">
        <v>37.5963272964126</v>
      </c>
      <c r="BD24">
        <v>126.924109745075</v>
      </c>
      <c r="BE24" t="s">
        <v>393</v>
      </c>
      <c r="BF24" t="s">
        <v>396</v>
      </c>
      <c r="BG24" t="s">
        <v>424</v>
      </c>
      <c r="BH24" t="s">
        <v>460</v>
      </c>
      <c r="BI24" s="3" t="s">
        <v>498</v>
      </c>
      <c r="BJ24">
        <f>HYPERLINK("https://www.google.com/maps/search/?api=1&amp;query=37.5963272964126,126.924109745075", "길찾기")</f>
        <v>0</v>
      </c>
    </row>
    <row r="25" spans="1:62">
      <c r="A25" t="s">
        <v>62</v>
      </c>
      <c r="B25" t="s">
        <v>63</v>
      </c>
      <c r="E25">
        <v>52177769</v>
      </c>
      <c r="F25" t="s">
        <v>94</v>
      </c>
      <c r="G25" s="2">
        <v>46009</v>
      </c>
      <c r="H25" t="s">
        <v>127</v>
      </c>
      <c r="I25" t="s">
        <v>128</v>
      </c>
      <c r="K25" t="s">
        <v>131</v>
      </c>
      <c r="L25" t="s">
        <v>133</v>
      </c>
      <c r="M25" t="s">
        <v>134</v>
      </c>
      <c r="O25" t="s">
        <v>138</v>
      </c>
      <c r="P25">
        <v>73</v>
      </c>
      <c r="Q25">
        <v>104</v>
      </c>
      <c r="R25" t="s">
        <v>140</v>
      </c>
      <c r="S25" t="s">
        <v>141</v>
      </c>
      <c r="T25" t="s">
        <v>144</v>
      </c>
      <c r="U25" t="s">
        <v>160</v>
      </c>
      <c r="V25">
        <v>170000</v>
      </c>
      <c r="W25" t="s">
        <v>164</v>
      </c>
      <c r="Y25" t="s">
        <v>201</v>
      </c>
      <c r="Z25" s="2">
        <v>46009</v>
      </c>
      <c r="AA25" s="2">
        <v>46022</v>
      </c>
      <c r="AB25" s="2">
        <v>45681</v>
      </c>
      <c r="AC25" s="2">
        <v>46775</v>
      </c>
      <c r="AE25" t="s">
        <v>241</v>
      </c>
      <c r="AH25" t="s">
        <v>257</v>
      </c>
      <c r="AI25" t="s">
        <v>298</v>
      </c>
      <c r="AJ25" t="s">
        <v>323</v>
      </c>
      <c r="AK25" t="s">
        <v>323</v>
      </c>
      <c r="AL25" t="s">
        <v>323</v>
      </c>
      <c r="AM25" t="s">
        <v>327</v>
      </c>
      <c r="AR25" t="s">
        <v>331</v>
      </c>
      <c r="AS25" t="s">
        <v>338</v>
      </c>
      <c r="AT25" t="s">
        <v>353</v>
      </c>
      <c r="AV25" t="s">
        <v>373</v>
      </c>
      <c r="AW25" s="2">
        <v>46009</v>
      </c>
      <c r="AX25" t="s">
        <v>374</v>
      </c>
      <c r="AY25">
        <v>0</v>
      </c>
      <c r="AZ25" t="s">
        <v>373</v>
      </c>
      <c r="BA25" s="2">
        <v>46009</v>
      </c>
      <c r="BB25" t="s">
        <v>138</v>
      </c>
      <c r="BC25">
        <v>37.5963272964126</v>
      </c>
      <c r="BD25">
        <v>126.924109745075</v>
      </c>
      <c r="BE25" t="s">
        <v>393</v>
      </c>
      <c r="BF25" t="s">
        <v>396</v>
      </c>
      <c r="BG25" t="s">
        <v>424</v>
      </c>
      <c r="BH25" t="s">
        <v>460</v>
      </c>
      <c r="BI25" s="3" t="s">
        <v>498</v>
      </c>
      <c r="BJ25">
        <f>HYPERLINK("https://www.google.com/maps/search/?api=1&amp;query=37.5963272964126,126.924109745075", "길찾기")</f>
        <v>0</v>
      </c>
    </row>
    <row r="26" spans="1:62">
      <c r="A26" t="s">
        <v>62</v>
      </c>
      <c r="B26" t="s">
        <v>63</v>
      </c>
      <c r="E26">
        <v>52190828</v>
      </c>
      <c r="F26" t="s">
        <v>95</v>
      </c>
      <c r="G26" s="2">
        <v>46009</v>
      </c>
      <c r="H26" t="s">
        <v>127</v>
      </c>
      <c r="I26" t="s">
        <v>128</v>
      </c>
      <c r="K26" t="s">
        <v>131</v>
      </c>
      <c r="L26" t="s">
        <v>133</v>
      </c>
      <c r="M26" t="s">
        <v>134</v>
      </c>
      <c r="O26" t="s">
        <v>138</v>
      </c>
      <c r="P26">
        <v>73</v>
      </c>
      <c r="Q26">
        <v>104</v>
      </c>
      <c r="R26" t="s">
        <v>140</v>
      </c>
      <c r="S26" t="s">
        <v>141</v>
      </c>
      <c r="T26" t="s">
        <v>144</v>
      </c>
      <c r="U26" t="s">
        <v>160</v>
      </c>
      <c r="V26">
        <v>200000</v>
      </c>
      <c r="W26" t="s">
        <v>164</v>
      </c>
      <c r="Y26" t="s">
        <v>201</v>
      </c>
      <c r="Z26" s="2">
        <v>46009</v>
      </c>
      <c r="AA26" s="2">
        <v>46022</v>
      </c>
      <c r="AB26" s="2">
        <v>45715</v>
      </c>
      <c r="AC26" s="2">
        <v>46809</v>
      </c>
      <c r="AE26" t="s">
        <v>241</v>
      </c>
      <c r="AH26" t="s">
        <v>257</v>
      </c>
      <c r="AI26" t="s">
        <v>296</v>
      </c>
      <c r="AJ26" t="s">
        <v>323</v>
      </c>
      <c r="AK26" t="s">
        <v>323</v>
      </c>
      <c r="AL26" t="s">
        <v>323</v>
      </c>
      <c r="AM26" t="s">
        <v>327</v>
      </c>
      <c r="AR26" t="s">
        <v>331</v>
      </c>
      <c r="AS26" t="s">
        <v>338</v>
      </c>
      <c r="AT26" t="s">
        <v>353</v>
      </c>
      <c r="AV26" t="s">
        <v>373</v>
      </c>
      <c r="AW26" s="2">
        <v>46009</v>
      </c>
      <c r="AX26">
        <v>0</v>
      </c>
      <c r="AY26">
        <v>0</v>
      </c>
      <c r="AZ26" t="s">
        <v>373</v>
      </c>
      <c r="BA26" s="2">
        <v>46009</v>
      </c>
      <c r="BB26" t="s">
        <v>138</v>
      </c>
      <c r="BC26">
        <v>37.5963272964126</v>
      </c>
      <c r="BD26">
        <v>126.924109745075</v>
      </c>
      <c r="BE26" t="s">
        <v>393</v>
      </c>
      <c r="BF26" t="s">
        <v>396</v>
      </c>
      <c r="BG26" t="s">
        <v>424</v>
      </c>
      <c r="BH26" t="s">
        <v>460</v>
      </c>
      <c r="BI26" s="3" t="s">
        <v>498</v>
      </c>
      <c r="BJ26">
        <f>HYPERLINK("https://www.google.com/maps/search/?api=1&amp;query=37.5963272964126,126.924109745075", "길찾기")</f>
        <v>0</v>
      </c>
    </row>
    <row r="27" spans="1:62">
      <c r="A27" t="s">
        <v>62</v>
      </c>
      <c r="B27" t="s">
        <v>63</v>
      </c>
      <c r="E27">
        <v>52190851</v>
      </c>
      <c r="F27" t="s">
        <v>96</v>
      </c>
      <c r="G27" s="2">
        <v>46009</v>
      </c>
      <c r="H27" t="s">
        <v>127</v>
      </c>
      <c r="I27" t="s">
        <v>128</v>
      </c>
      <c r="K27" t="s">
        <v>131</v>
      </c>
      <c r="L27" t="s">
        <v>133</v>
      </c>
      <c r="M27" t="s">
        <v>134</v>
      </c>
      <c r="O27" t="s">
        <v>138</v>
      </c>
      <c r="P27">
        <v>73</v>
      </c>
      <c r="Q27">
        <v>104</v>
      </c>
      <c r="R27" t="s">
        <v>140</v>
      </c>
      <c r="S27" t="s">
        <v>141</v>
      </c>
      <c r="T27" t="s">
        <v>144</v>
      </c>
      <c r="U27" t="s">
        <v>160</v>
      </c>
      <c r="V27">
        <v>200000</v>
      </c>
      <c r="W27" t="s">
        <v>164</v>
      </c>
      <c r="Y27" t="s">
        <v>201</v>
      </c>
      <c r="Z27" s="2">
        <v>46009</v>
      </c>
      <c r="AA27" s="2">
        <v>46022</v>
      </c>
      <c r="AB27" s="2">
        <v>45715</v>
      </c>
      <c r="AC27" s="2">
        <v>46809</v>
      </c>
      <c r="AE27" t="s">
        <v>241</v>
      </c>
      <c r="AH27" t="s">
        <v>256</v>
      </c>
      <c r="AI27" t="s">
        <v>296</v>
      </c>
      <c r="AJ27" t="s">
        <v>323</v>
      </c>
      <c r="AK27" t="s">
        <v>323</v>
      </c>
      <c r="AL27" t="s">
        <v>323</v>
      </c>
      <c r="AM27" t="s">
        <v>327</v>
      </c>
      <c r="AR27" t="s">
        <v>331</v>
      </c>
      <c r="AS27" t="s">
        <v>338</v>
      </c>
      <c r="AT27" t="s">
        <v>353</v>
      </c>
      <c r="AV27" t="s">
        <v>373</v>
      </c>
      <c r="AW27" s="2">
        <v>46009</v>
      </c>
      <c r="AX27" t="s">
        <v>374</v>
      </c>
      <c r="AY27">
        <v>0</v>
      </c>
      <c r="AZ27" t="s">
        <v>373</v>
      </c>
      <c r="BA27" s="2">
        <v>46009</v>
      </c>
      <c r="BB27" t="s">
        <v>138</v>
      </c>
      <c r="BC27">
        <v>37.5963272964126</v>
      </c>
      <c r="BD27">
        <v>126.924109745075</v>
      </c>
      <c r="BE27" t="s">
        <v>393</v>
      </c>
      <c r="BF27" t="s">
        <v>396</v>
      </c>
      <c r="BG27" t="s">
        <v>424</v>
      </c>
      <c r="BH27" t="s">
        <v>460</v>
      </c>
      <c r="BI27" s="3" t="s">
        <v>498</v>
      </c>
      <c r="BJ27">
        <f>HYPERLINK("https://www.google.com/maps/search/?api=1&amp;query=37.5963272964126,126.924109745075", "길찾기")</f>
        <v>0</v>
      </c>
    </row>
    <row r="28" spans="1:62">
      <c r="A28" t="s">
        <v>62</v>
      </c>
      <c r="B28" t="s">
        <v>69</v>
      </c>
      <c r="E28">
        <v>52235800</v>
      </c>
      <c r="F28" t="s">
        <v>97</v>
      </c>
      <c r="G28" s="2">
        <v>46004</v>
      </c>
      <c r="H28" t="s">
        <v>127</v>
      </c>
      <c r="I28" t="s">
        <v>128</v>
      </c>
      <c r="K28" t="s">
        <v>132</v>
      </c>
      <c r="L28" t="s">
        <v>133</v>
      </c>
      <c r="M28" t="s">
        <v>135</v>
      </c>
      <c r="O28" t="s">
        <v>138</v>
      </c>
      <c r="P28">
        <v>78</v>
      </c>
      <c r="Q28">
        <v>109</v>
      </c>
      <c r="R28" t="s">
        <v>140</v>
      </c>
      <c r="S28" t="s">
        <v>141</v>
      </c>
      <c r="T28" t="s">
        <v>146</v>
      </c>
      <c r="U28" t="s">
        <v>151</v>
      </c>
      <c r="V28">
        <v>63000</v>
      </c>
      <c r="W28" t="s">
        <v>174</v>
      </c>
      <c r="Y28" t="s">
        <v>202</v>
      </c>
      <c r="Z28" s="2">
        <v>46004</v>
      </c>
      <c r="AA28" s="2">
        <v>46022</v>
      </c>
      <c r="AB28" s="2">
        <v>45803</v>
      </c>
      <c r="AC28" s="2">
        <v>46898</v>
      </c>
      <c r="AE28" t="s">
        <v>241</v>
      </c>
      <c r="AH28" t="s">
        <v>258</v>
      </c>
      <c r="AI28" t="s">
        <v>299</v>
      </c>
      <c r="AJ28" t="s">
        <v>323</v>
      </c>
      <c r="AK28" t="s">
        <v>323</v>
      </c>
      <c r="AL28" t="s">
        <v>323</v>
      </c>
      <c r="AM28" t="s">
        <v>327</v>
      </c>
      <c r="AR28" t="s">
        <v>331</v>
      </c>
      <c r="AS28" t="s">
        <v>340</v>
      </c>
      <c r="AT28" t="s">
        <v>354</v>
      </c>
      <c r="AU28" t="s">
        <v>372</v>
      </c>
      <c r="AV28" t="s">
        <v>373</v>
      </c>
      <c r="AW28" s="2">
        <v>46004</v>
      </c>
      <c r="AX28" t="s">
        <v>380</v>
      </c>
      <c r="AY28">
        <v>0</v>
      </c>
      <c r="AZ28" t="s">
        <v>373</v>
      </c>
      <c r="BA28" s="2">
        <v>46004</v>
      </c>
      <c r="BB28" t="s">
        <v>138</v>
      </c>
      <c r="BC28">
        <v>37.6594130234868</v>
      </c>
      <c r="BD28">
        <v>126.829613718048</v>
      </c>
      <c r="BE28" t="s">
        <v>394</v>
      </c>
      <c r="BF28" t="s">
        <v>404</v>
      </c>
      <c r="BG28" t="s">
        <v>425</v>
      </c>
      <c r="BH28" t="s">
        <v>461</v>
      </c>
      <c r="BI28" s="3" t="s">
        <v>499</v>
      </c>
      <c r="BJ28">
        <f>HYPERLINK("https://www.google.com/maps/search/?api=1&amp;query=37.6594130234868,126.829613718048", "길찾기")</f>
        <v>0</v>
      </c>
    </row>
    <row r="29" spans="1:62">
      <c r="A29" t="s">
        <v>62</v>
      </c>
      <c r="B29" t="s">
        <v>70</v>
      </c>
      <c r="E29">
        <v>52059925</v>
      </c>
      <c r="F29" t="s">
        <v>98</v>
      </c>
      <c r="G29" s="2">
        <v>46003</v>
      </c>
      <c r="H29" t="s">
        <v>127</v>
      </c>
      <c r="I29" t="s">
        <v>128</v>
      </c>
      <c r="K29" t="s">
        <v>131</v>
      </c>
      <c r="L29" t="s">
        <v>133</v>
      </c>
      <c r="M29" t="s">
        <v>134</v>
      </c>
      <c r="O29" t="s">
        <v>138</v>
      </c>
      <c r="P29">
        <v>79</v>
      </c>
      <c r="Q29">
        <v>110</v>
      </c>
      <c r="R29" t="s">
        <v>140</v>
      </c>
      <c r="S29" t="s">
        <v>141</v>
      </c>
      <c r="T29" t="s">
        <v>145</v>
      </c>
      <c r="U29" t="s">
        <v>161</v>
      </c>
      <c r="V29">
        <v>25000</v>
      </c>
      <c r="W29" t="s">
        <v>175</v>
      </c>
      <c r="Y29" t="s">
        <v>203</v>
      </c>
      <c r="Z29" s="2">
        <v>46003</v>
      </c>
      <c r="AA29" s="2">
        <v>46022</v>
      </c>
      <c r="AB29" s="2">
        <v>45589</v>
      </c>
      <c r="AC29" s="2">
        <v>46683</v>
      </c>
      <c r="AE29" t="s">
        <v>241</v>
      </c>
      <c r="AH29" t="s">
        <v>259</v>
      </c>
      <c r="AI29" t="s">
        <v>300</v>
      </c>
      <c r="AJ29" t="s">
        <v>323</v>
      </c>
      <c r="AK29" t="s">
        <v>323</v>
      </c>
      <c r="AL29" t="s">
        <v>323</v>
      </c>
      <c r="AM29" t="s">
        <v>327</v>
      </c>
      <c r="AR29" t="s">
        <v>331</v>
      </c>
      <c r="AS29" t="s">
        <v>338</v>
      </c>
      <c r="AT29" t="s">
        <v>355</v>
      </c>
      <c r="AV29" t="s">
        <v>373</v>
      </c>
      <c r="AW29" s="2">
        <v>46003</v>
      </c>
      <c r="AX29" t="s">
        <v>381</v>
      </c>
      <c r="AY29">
        <v>0</v>
      </c>
      <c r="AZ29" t="s">
        <v>373</v>
      </c>
      <c r="BA29" s="2">
        <v>46003</v>
      </c>
      <c r="BB29" t="s">
        <v>138</v>
      </c>
      <c r="BC29">
        <v>38.1246704618065</v>
      </c>
      <c r="BD29">
        <v>128.204172526138</v>
      </c>
      <c r="BE29" t="s">
        <v>395</v>
      </c>
      <c r="BF29" t="s">
        <v>405</v>
      </c>
      <c r="BG29" t="s">
        <v>426</v>
      </c>
      <c r="BH29" t="s">
        <v>462</v>
      </c>
      <c r="BI29" s="3" t="s">
        <v>500</v>
      </c>
      <c r="BJ29">
        <f>HYPERLINK("https://www.google.com/maps/search/?api=1&amp;query=38.1246704618065,128.204172526138", "길찾기")</f>
        <v>0</v>
      </c>
    </row>
    <row r="30" spans="1:62">
      <c r="A30" t="s">
        <v>62</v>
      </c>
      <c r="B30" t="s">
        <v>70</v>
      </c>
      <c r="E30">
        <v>52059962</v>
      </c>
      <c r="F30" t="s">
        <v>99</v>
      </c>
      <c r="G30" s="2">
        <v>46003</v>
      </c>
      <c r="H30" t="s">
        <v>127</v>
      </c>
      <c r="I30" t="s">
        <v>128</v>
      </c>
      <c r="K30" t="s">
        <v>131</v>
      </c>
      <c r="L30" t="s">
        <v>133</v>
      </c>
      <c r="M30" t="s">
        <v>135</v>
      </c>
      <c r="O30" t="s">
        <v>138</v>
      </c>
      <c r="P30">
        <v>79</v>
      </c>
      <c r="Q30">
        <v>110</v>
      </c>
      <c r="R30" t="s">
        <v>140</v>
      </c>
      <c r="S30" t="s">
        <v>141</v>
      </c>
      <c r="T30" t="s">
        <v>145</v>
      </c>
      <c r="U30" t="s">
        <v>153</v>
      </c>
      <c r="V30">
        <v>25000</v>
      </c>
      <c r="W30" t="s">
        <v>175</v>
      </c>
      <c r="Y30" t="s">
        <v>203</v>
      </c>
      <c r="Z30" s="2">
        <v>46003</v>
      </c>
      <c r="AA30" s="2">
        <v>46022</v>
      </c>
      <c r="AB30" s="2">
        <v>45589</v>
      </c>
      <c r="AC30" s="2">
        <v>46683</v>
      </c>
      <c r="AE30" t="s">
        <v>241</v>
      </c>
      <c r="AH30" t="s">
        <v>259</v>
      </c>
      <c r="AI30" t="s">
        <v>300</v>
      </c>
      <c r="AJ30" t="s">
        <v>323</v>
      </c>
      <c r="AK30" t="s">
        <v>323</v>
      </c>
      <c r="AL30" t="s">
        <v>323</v>
      </c>
      <c r="AM30" t="s">
        <v>327</v>
      </c>
      <c r="AR30" t="s">
        <v>331</v>
      </c>
      <c r="AS30" t="s">
        <v>338</v>
      </c>
      <c r="AT30" t="s">
        <v>355</v>
      </c>
      <c r="AV30" t="s">
        <v>373</v>
      </c>
      <c r="AW30" s="2">
        <v>46003</v>
      </c>
      <c r="AX30" t="s">
        <v>381</v>
      </c>
      <c r="AY30">
        <v>0</v>
      </c>
      <c r="AZ30" t="s">
        <v>373</v>
      </c>
      <c r="BA30" s="2">
        <v>46003</v>
      </c>
      <c r="BB30" t="s">
        <v>138</v>
      </c>
      <c r="BC30">
        <v>38.1246704618065</v>
      </c>
      <c r="BD30">
        <v>128.204172526138</v>
      </c>
      <c r="BE30" t="s">
        <v>395</v>
      </c>
      <c r="BF30" t="s">
        <v>405</v>
      </c>
      <c r="BG30" t="s">
        <v>426</v>
      </c>
      <c r="BH30" t="s">
        <v>462</v>
      </c>
      <c r="BI30" s="3" t="s">
        <v>500</v>
      </c>
      <c r="BJ30">
        <f>HYPERLINK("https://www.google.com/maps/search/?api=1&amp;query=38.1246704618065,128.204172526138", "길찾기")</f>
        <v>0</v>
      </c>
    </row>
    <row r="31" spans="1:62">
      <c r="A31" t="s">
        <v>62</v>
      </c>
      <c r="B31" t="s">
        <v>69</v>
      </c>
      <c r="E31">
        <v>52194995</v>
      </c>
      <c r="F31" t="s">
        <v>100</v>
      </c>
      <c r="G31" s="2">
        <v>46002</v>
      </c>
      <c r="H31" t="s">
        <v>127</v>
      </c>
      <c r="I31" t="s">
        <v>128</v>
      </c>
      <c r="K31" t="s">
        <v>131</v>
      </c>
      <c r="L31" t="s">
        <v>133</v>
      </c>
      <c r="M31" t="s">
        <v>135</v>
      </c>
      <c r="O31" t="s">
        <v>138</v>
      </c>
      <c r="P31">
        <v>80</v>
      </c>
      <c r="Q31">
        <v>111</v>
      </c>
      <c r="R31" t="s">
        <v>140</v>
      </c>
      <c r="S31" t="s">
        <v>141</v>
      </c>
      <c r="T31" t="s">
        <v>145</v>
      </c>
      <c r="U31" t="s">
        <v>151</v>
      </c>
      <c r="V31">
        <v>37000</v>
      </c>
      <c r="W31" t="s">
        <v>173</v>
      </c>
      <c r="Y31" t="s">
        <v>204</v>
      </c>
      <c r="Z31" s="2">
        <v>46002</v>
      </c>
      <c r="AA31" s="2">
        <v>46081</v>
      </c>
      <c r="AB31" s="2">
        <v>45730</v>
      </c>
      <c r="AC31" s="2">
        <v>46825</v>
      </c>
      <c r="AE31" t="s">
        <v>241</v>
      </c>
      <c r="AH31" t="s">
        <v>260</v>
      </c>
      <c r="AI31" t="s">
        <v>301</v>
      </c>
      <c r="AJ31" t="s">
        <v>323</v>
      </c>
      <c r="AK31" t="s">
        <v>323</v>
      </c>
      <c r="AL31" t="s">
        <v>323</v>
      </c>
      <c r="AM31" t="s">
        <v>327</v>
      </c>
      <c r="AR31" t="s">
        <v>331</v>
      </c>
      <c r="AS31" t="s">
        <v>340</v>
      </c>
      <c r="AT31" t="s">
        <v>356</v>
      </c>
      <c r="AV31" t="s">
        <v>373</v>
      </c>
      <c r="AW31" s="2">
        <v>46002</v>
      </c>
      <c r="AX31" t="s">
        <v>382</v>
      </c>
      <c r="AY31">
        <v>0</v>
      </c>
      <c r="AZ31" t="s">
        <v>373</v>
      </c>
      <c r="BA31" s="2">
        <v>46002</v>
      </c>
      <c r="BB31" t="s">
        <v>138</v>
      </c>
      <c r="BC31">
        <v>37.6700959284217</v>
      </c>
      <c r="BD31">
        <v>126.763299407637</v>
      </c>
      <c r="BE31" t="s">
        <v>394</v>
      </c>
      <c r="BF31" t="s">
        <v>404</v>
      </c>
      <c r="BG31" t="s">
        <v>427</v>
      </c>
      <c r="BH31" t="s">
        <v>463</v>
      </c>
      <c r="BI31" s="3" t="s">
        <v>501</v>
      </c>
      <c r="BJ31">
        <f>HYPERLINK("https://www.google.com/maps/search/?api=1&amp;query=37.6700959284217,126.763299407637", "길찾기")</f>
        <v>0</v>
      </c>
    </row>
    <row r="32" spans="1:62">
      <c r="A32" t="s">
        <v>62</v>
      </c>
      <c r="B32" t="s">
        <v>69</v>
      </c>
      <c r="E32">
        <v>50361919</v>
      </c>
      <c r="F32" t="s">
        <v>101</v>
      </c>
      <c r="G32" s="2">
        <v>46001</v>
      </c>
      <c r="H32" t="s">
        <v>127</v>
      </c>
      <c r="I32" t="s">
        <v>128</v>
      </c>
      <c r="K32" t="s">
        <v>132</v>
      </c>
      <c r="L32" t="s">
        <v>133</v>
      </c>
      <c r="M32" t="s">
        <v>134</v>
      </c>
      <c r="O32" t="s">
        <v>138</v>
      </c>
      <c r="P32">
        <v>81</v>
      </c>
      <c r="Q32">
        <v>112</v>
      </c>
      <c r="R32" t="s">
        <v>140</v>
      </c>
      <c r="S32" t="s">
        <v>141</v>
      </c>
      <c r="T32" t="s">
        <v>147</v>
      </c>
      <c r="U32" t="s">
        <v>157</v>
      </c>
      <c r="V32">
        <v>73500</v>
      </c>
      <c r="W32" t="s">
        <v>172</v>
      </c>
      <c r="Y32" t="s">
        <v>199</v>
      </c>
      <c r="Z32" s="2">
        <v>46001</v>
      </c>
      <c r="AA32" s="2">
        <v>46062</v>
      </c>
      <c r="AB32" s="2">
        <v>46055</v>
      </c>
      <c r="AC32" s="2">
        <v>46419</v>
      </c>
      <c r="AD32" t="s">
        <v>231</v>
      </c>
      <c r="AE32" t="s">
        <v>241</v>
      </c>
      <c r="AH32" t="s">
        <v>254</v>
      </c>
      <c r="AI32" t="s">
        <v>293</v>
      </c>
      <c r="AJ32" t="s">
        <v>323</v>
      </c>
      <c r="AK32" t="s">
        <v>323</v>
      </c>
      <c r="AL32" t="s">
        <v>323</v>
      </c>
      <c r="AM32" t="s">
        <v>327</v>
      </c>
      <c r="AR32" t="s">
        <v>332</v>
      </c>
      <c r="AS32" t="s">
        <v>338</v>
      </c>
      <c r="AT32" t="s">
        <v>231</v>
      </c>
      <c r="AV32" t="s">
        <v>373</v>
      </c>
      <c r="AW32" s="2">
        <v>46001</v>
      </c>
      <c r="AX32" t="s">
        <v>378</v>
      </c>
      <c r="AY32">
        <v>0</v>
      </c>
      <c r="AZ32" t="s">
        <v>373</v>
      </c>
      <c r="BA32" s="2">
        <v>46001</v>
      </c>
      <c r="BB32" t="s">
        <v>138</v>
      </c>
      <c r="BC32">
        <v>37.8025424016272</v>
      </c>
      <c r="BD32">
        <v>126.716245034905</v>
      </c>
      <c r="BE32" t="s">
        <v>394</v>
      </c>
      <c r="BF32" t="s">
        <v>401</v>
      </c>
      <c r="BG32" t="s">
        <v>422</v>
      </c>
      <c r="BH32" t="s">
        <v>458</v>
      </c>
      <c r="BI32" s="3" t="s">
        <v>496</v>
      </c>
      <c r="BJ32">
        <f>HYPERLINK("https://www.google.com/maps/search/?api=1&amp;query=37.8025424016272,126.716245034905", "길찾기")</f>
        <v>0</v>
      </c>
    </row>
    <row r="33" spans="1:62">
      <c r="A33" t="s">
        <v>62</v>
      </c>
      <c r="B33" t="s">
        <v>69</v>
      </c>
      <c r="E33">
        <v>51153544</v>
      </c>
      <c r="F33" t="s">
        <v>102</v>
      </c>
      <c r="G33" s="2">
        <v>46001</v>
      </c>
      <c r="H33" t="s">
        <v>127</v>
      </c>
      <c r="I33" t="s">
        <v>128</v>
      </c>
      <c r="K33" t="s">
        <v>131</v>
      </c>
      <c r="L33" t="s">
        <v>133</v>
      </c>
      <c r="M33" t="s">
        <v>134</v>
      </c>
      <c r="O33" t="s">
        <v>138</v>
      </c>
      <c r="P33">
        <v>81</v>
      </c>
      <c r="Q33">
        <v>112</v>
      </c>
      <c r="R33" t="s">
        <v>140</v>
      </c>
      <c r="S33" t="s">
        <v>141</v>
      </c>
      <c r="T33" t="s">
        <v>146</v>
      </c>
      <c r="U33" t="s">
        <v>156</v>
      </c>
      <c r="V33">
        <v>55000</v>
      </c>
      <c r="W33" t="s">
        <v>173</v>
      </c>
      <c r="Y33" t="s">
        <v>205</v>
      </c>
      <c r="Z33" s="2">
        <v>46001</v>
      </c>
      <c r="AA33" s="2">
        <v>46022</v>
      </c>
      <c r="AB33" s="2">
        <v>45839</v>
      </c>
      <c r="AC33" s="2">
        <v>46203</v>
      </c>
      <c r="AE33" t="s">
        <v>241</v>
      </c>
      <c r="AH33" t="s">
        <v>261</v>
      </c>
      <c r="AI33" t="s">
        <v>302</v>
      </c>
      <c r="AJ33" t="s">
        <v>323</v>
      </c>
      <c r="AK33" t="s">
        <v>323</v>
      </c>
      <c r="AL33" t="s">
        <v>323</v>
      </c>
      <c r="AM33" t="s">
        <v>327</v>
      </c>
      <c r="AR33" t="s">
        <v>331</v>
      </c>
      <c r="AS33" t="s">
        <v>340</v>
      </c>
      <c r="AT33" t="s">
        <v>357</v>
      </c>
      <c r="AV33" t="s">
        <v>373</v>
      </c>
      <c r="AW33" s="2">
        <v>46001</v>
      </c>
      <c r="AX33" t="s">
        <v>379</v>
      </c>
      <c r="AY33">
        <v>0</v>
      </c>
      <c r="AZ33" t="s">
        <v>373</v>
      </c>
      <c r="BA33" s="2">
        <v>46001</v>
      </c>
      <c r="BB33" t="s">
        <v>138</v>
      </c>
      <c r="BC33">
        <v>37.6829848694341</v>
      </c>
      <c r="BD33">
        <v>126.755141409924</v>
      </c>
      <c r="BE33" t="s">
        <v>394</v>
      </c>
      <c r="BF33" t="s">
        <v>404</v>
      </c>
      <c r="BG33" t="s">
        <v>428</v>
      </c>
      <c r="BH33" t="s">
        <v>464</v>
      </c>
      <c r="BI33" s="3" t="s">
        <v>502</v>
      </c>
      <c r="BJ33">
        <f>HYPERLINK("https://www.google.com/maps/search/?api=1&amp;query=37.6829848694341,126.755141409924", "길찾기")</f>
        <v>0</v>
      </c>
    </row>
    <row r="34" spans="1:62">
      <c r="A34" t="s">
        <v>62</v>
      </c>
      <c r="B34" t="s">
        <v>69</v>
      </c>
      <c r="E34">
        <v>51455220</v>
      </c>
      <c r="F34" t="s">
        <v>103</v>
      </c>
      <c r="G34" s="2">
        <v>45999</v>
      </c>
      <c r="H34" t="s">
        <v>127</v>
      </c>
      <c r="I34" t="s">
        <v>128</v>
      </c>
      <c r="K34" t="s">
        <v>131</v>
      </c>
      <c r="L34" t="s">
        <v>133</v>
      </c>
      <c r="M34" t="s">
        <v>135</v>
      </c>
      <c r="O34" t="s">
        <v>138</v>
      </c>
      <c r="P34">
        <v>83</v>
      </c>
      <c r="Q34">
        <v>114</v>
      </c>
      <c r="R34" t="s">
        <v>140</v>
      </c>
      <c r="S34" t="s">
        <v>141</v>
      </c>
      <c r="T34" t="s">
        <v>145</v>
      </c>
      <c r="U34" t="s">
        <v>153</v>
      </c>
      <c r="V34">
        <v>30000</v>
      </c>
      <c r="W34" t="s">
        <v>176</v>
      </c>
      <c r="Y34" t="s">
        <v>206</v>
      </c>
      <c r="Z34" s="2">
        <v>45999</v>
      </c>
      <c r="AA34" s="2">
        <v>46085</v>
      </c>
      <c r="AB34" s="2">
        <v>45839</v>
      </c>
      <c r="AC34" s="2">
        <v>46203</v>
      </c>
      <c r="AD34" t="s">
        <v>232</v>
      </c>
      <c r="AE34" t="s">
        <v>241</v>
      </c>
      <c r="AF34" t="s">
        <v>242</v>
      </c>
      <c r="AG34" s="2">
        <v>46054</v>
      </c>
      <c r="AH34" t="s">
        <v>262</v>
      </c>
      <c r="AI34" t="s">
        <v>303</v>
      </c>
      <c r="AJ34" t="s">
        <v>323</v>
      </c>
      <c r="AK34" t="s">
        <v>323</v>
      </c>
      <c r="AL34" t="s">
        <v>323</v>
      </c>
      <c r="AM34" t="s">
        <v>327</v>
      </c>
      <c r="AR34" t="s">
        <v>333</v>
      </c>
      <c r="AS34" t="s">
        <v>338</v>
      </c>
      <c r="AT34" t="s">
        <v>358</v>
      </c>
      <c r="AU34" t="s">
        <v>372</v>
      </c>
      <c r="AV34" t="s">
        <v>373</v>
      </c>
      <c r="AW34" s="2">
        <v>45999</v>
      </c>
      <c r="AX34" t="s">
        <v>383</v>
      </c>
      <c r="AY34">
        <v>0</v>
      </c>
      <c r="AZ34" t="s">
        <v>373</v>
      </c>
      <c r="BA34" s="2">
        <v>45999</v>
      </c>
      <c r="BB34" t="s">
        <v>138</v>
      </c>
      <c r="BC34">
        <v>37.8565504951624</v>
      </c>
      <c r="BD34">
        <v>126.790957897268</v>
      </c>
      <c r="BE34" t="s">
        <v>394</v>
      </c>
      <c r="BF34" t="s">
        <v>401</v>
      </c>
      <c r="BG34" t="s">
        <v>429</v>
      </c>
      <c r="BH34" t="s">
        <v>465</v>
      </c>
      <c r="BI34" s="3" t="s">
        <v>503</v>
      </c>
      <c r="BJ34">
        <f>HYPERLINK("https://www.google.com/maps/search/?api=1&amp;query=37.8565504951624,126.790957897268", "길찾기")</f>
        <v>0</v>
      </c>
    </row>
    <row r="35" spans="1:62">
      <c r="A35" t="s">
        <v>62</v>
      </c>
      <c r="B35" t="s">
        <v>64</v>
      </c>
      <c r="E35">
        <v>52092594</v>
      </c>
      <c r="F35" t="s">
        <v>104</v>
      </c>
      <c r="G35" s="2">
        <v>45997</v>
      </c>
      <c r="H35" t="s">
        <v>127</v>
      </c>
      <c r="I35" t="s">
        <v>128</v>
      </c>
      <c r="K35" t="s">
        <v>131</v>
      </c>
      <c r="L35" t="s">
        <v>133</v>
      </c>
      <c r="M35" t="s">
        <v>134</v>
      </c>
      <c r="O35" t="s">
        <v>138</v>
      </c>
      <c r="P35">
        <v>85</v>
      </c>
      <c r="Q35">
        <v>116</v>
      </c>
      <c r="R35" t="s">
        <v>140</v>
      </c>
      <c r="S35" t="s">
        <v>141</v>
      </c>
      <c r="T35" t="s">
        <v>145</v>
      </c>
      <c r="U35" t="s">
        <v>162</v>
      </c>
      <c r="V35">
        <v>41000</v>
      </c>
      <c r="W35" t="s">
        <v>177</v>
      </c>
      <c r="X35" t="s">
        <v>189</v>
      </c>
      <c r="Y35" t="s">
        <v>207</v>
      </c>
      <c r="Z35" s="2">
        <v>45997</v>
      </c>
      <c r="AA35" s="2">
        <v>46082</v>
      </c>
      <c r="AB35" s="2">
        <v>45624</v>
      </c>
      <c r="AC35" s="2">
        <v>46445</v>
      </c>
      <c r="AE35" t="s">
        <v>241</v>
      </c>
      <c r="AH35" t="s">
        <v>263</v>
      </c>
      <c r="AI35" t="s">
        <v>304</v>
      </c>
      <c r="AJ35" t="s">
        <v>323</v>
      </c>
      <c r="AK35" t="s">
        <v>323</v>
      </c>
      <c r="AL35" t="s">
        <v>323</v>
      </c>
      <c r="AM35" t="s">
        <v>327</v>
      </c>
      <c r="AR35" t="s">
        <v>331</v>
      </c>
      <c r="AS35" t="s">
        <v>340</v>
      </c>
      <c r="AT35" t="s">
        <v>359</v>
      </c>
      <c r="AU35" t="s">
        <v>372</v>
      </c>
      <c r="AV35" t="s">
        <v>373</v>
      </c>
      <c r="AW35" s="2">
        <v>45997</v>
      </c>
      <c r="AX35" t="s">
        <v>375</v>
      </c>
      <c r="AY35">
        <v>0</v>
      </c>
      <c r="AZ35" t="s">
        <v>373</v>
      </c>
      <c r="BA35" s="2">
        <v>45997</v>
      </c>
      <c r="BB35" t="s">
        <v>138</v>
      </c>
      <c r="BC35">
        <v>37.6004055110661</v>
      </c>
      <c r="BD35">
        <v>127.066373060068</v>
      </c>
      <c r="BE35" t="s">
        <v>393</v>
      </c>
      <c r="BF35" t="s">
        <v>406</v>
      </c>
      <c r="BG35" t="s">
        <v>430</v>
      </c>
      <c r="BH35" t="s">
        <v>466</v>
      </c>
      <c r="BI35" s="3" t="s">
        <v>504</v>
      </c>
      <c r="BJ35">
        <f>HYPERLINK("https://www.google.com/maps/search/?api=1&amp;query=37.6004055110661,127.066373060068", "길찾기")</f>
        <v>0</v>
      </c>
    </row>
    <row r="36" spans="1:62">
      <c r="A36" t="s">
        <v>62</v>
      </c>
      <c r="B36" t="s">
        <v>65</v>
      </c>
      <c r="E36">
        <v>50455979</v>
      </c>
      <c r="F36" t="s">
        <v>105</v>
      </c>
      <c r="G36" s="2">
        <v>45996</v>
      </c>
      <c r="H36" t="s">
        <v>127</v>
      </c>
      <c r="I36" t="s">
        <v>128</v>
      </c>
      <c r="K36" t="s">
        <v>131</v>
      </c>
      <c r="L36" t="s">
        <v>133</v>
      </c>
      <c r="M36" t="s">
        <v>135</v>
      </c>
      <c r="O36" t="s">
        <v>138</v>
      </c>
      <c r="P36">
        <v>86</v>
      </c>
      <c r="Q36">
        <v>117</v>
      </c>
      <c r="R36" t="s">
        <v>140</v>
      </c>
      <c r="S36" t="s">
        <v>141</v>
      </c>
      <c r="T36" t="s">
        <v>145</v>
      </c>
      <c r="U36" t="s">
        <v>151</v>
      </c>
      <c r="V36">
        <v>30000</v>
      </c>
      <c r="W36" t="s">
        <v>178</v>
      </c>
      <c r="Y36" t="s">
        <v>208</v>
      </c>
      <c r="Z36" s="2">
        <v>45996</v>
      </c>
      <c r="AA36" s="2">
        <v>46057</v>
      </c>
      <c r="AB36" s="2">
        <v>46023</v>
      </c>
      <c r="AC36" s="2">
        <v>46387</v>
      </c>
      <c r="AD36" t="s">
        <v>233</v>
      </c>
      <c r="AE36" t="s">
        <v>241</v>
      </c>
      <c r="AF36" t="s">
        <v>242</v>
      </c>
      <c r="AG36" s="2">
        <v>46054</v>
      </c>
      <c r="AH36" t="s">
        <v>264</v>
      </c>
      <c r="AI36" t="s">
        <v>305</v>
      </c>
      <c r="AJ36" t="s">
        <v>323</v>
      </c>
      <c r="AK36" t="s">
        <v>323</v>
      </c>
      <c r="AL36" t="s">
        <v>323</v>
      </c>
      <c r="AM36" t="s">
        <v>327</v>
      </c>
      <c r="AR36" t="s">
        <v>334</v>
      </c>
      <c r="AS36" t="s">
        <v>338</v>
      </c>
      <c r="AT36" t="s">
        <v>233</v>
      </c>
      <c r="AU36" t="s">
        <v>372</v>
      </c>
      <c r="AV36" t="s">
        <v>373</v>
      </c>
      <c r="AW36" s="2">
        <v>45996</v>
      </c>
      <c r="AX36">
        <v>0</v>
      </c>
      <c r="AY36">
        <v>0</v>
      </c>
      <c r="AZ36" t="s">
        <v>373</v>
      </c>
      <c r="BA36" s="2">
        <v>45996</v>
      </c>
      <c r="BB36" t="s">
        <v>138</v>
      </c>
      <c r="BC36">
        <v>37.8981269123829</v>
      </c>
      <c r="BD36">
        <v>126.97671505489</v>
      </c>
      <c r="BE36" t="s">
        <v>394</v>
      </c>
      <c r="BF36" t="s">
        <v>402</v>
      </c>
      <c r="BG36" t="s">
        <v>431</v>
      </c>
      <c r="BH36" t="s">
        <v>467</v>
      </c>
      <c r="BI36" s="3" t="s">
        <v>505</v>
      </c>
      <c r="BJ36">
        <f>HYPERLINK("https://www.google.com/maps/search/?api=1&amp;query=37.8981269123829,126.97671505489", "길찾기")</f>
        <v>0</v>
      </c>
    </row>
    <row r="37" spans="1:62">
      <c r="A37" t="s">
        <v>62</v>
      </c>
      <c r="B37" t="s">
        <v>67</v>
      </c>
      <c r="E37">
        <v>52030886</v>
      </c>
      <c r="F37" t="s">
        <v>106</v>
      </c>
      <c r="G37" s="2">
        <v>45996</v>
      </c>
      <c r="H37" t="s">
        <v>127</v>
      </c>
      <c r="I37" t="s">
        <v>128</v>
      </c>
      <c r="K37" t="s">
        <v>131</v>
      </c>
      <c r="L37" t="s">
        <v>133</v>
      </c>
      <c r="M37" t="s">
        <v>135</v>
      </c>
      <c r="O37" t="s">
        <v>138</v>
      </c>
      <c r="P37">
        <v>86</v>
      </c>
      <c r="Q37">
        <v>117</v>
      </c>
      <c r="R37" t="s">
        <v>140</v>
      </c>
      <c r="S37" t="s">
        <v>141</v>
      </c>
      <c r="T37" t="s">
        <v>145</v>
      </c>
      <c r="U37" t="s">
        <v>153</v>
      </c>
      <c r="V37">
        <v>25000</v>
      </c>
      <c r="W37" t="s">
        <v>179</v>
      </c>
      <c r="Y37" t="s">
        <v>209</v>
      </c>
      <c r="Z37" s="2">
        <v>45996</v>
      </c>
      <c r="AA37" s="2">
        <v>46026</v>
      </c>
      <c r="AB37" s="2">
        <v>45524</v>
      </c>
      <c r="AC37" s="2">
        <v>46709</v>
      </c>
      <c r="AE37" t="s">
        <v>241</v>
      </c>
      <c r="AH37" t="s">
        <v>265</v>
      </c>
      <c r="AI37" t="s">
        <v>306</v>
      </c>
      <c r="AJ37" t="s">
        <v>323</v>
      </c>
      <c r="AK37" t="s">
        <v>323</v>
      </c>
      <c r="AL37" t="s">
        <v>323</v>
      </c>
      <c r="AM37" t="s">
        <v>327</v>
      </c>
      <c r="AR37" t="s">
        <v>331</v>
      </c>
      <c r="AS37" t="s">
        <v>339</v>
      </c>
      <c r="AT37" t="s">
        <v>360</v>
      </c>
      <c r="AV37" t="s">
        <v>373</v>
      </c>
      <c r="AW37" s="2">
        <v>45996</v>
      </c>
      <c r="AX37" t="s">
        <v>384</v>
      </c>
      <c r="AY37">
        <v>0</v>
      </c>
      <c r="AZ37" t="s">
        <v>373</v>
      </c>
      <c r="BA37" s="2">
        <v>45996</v>
      </c>
      <c r="BB37" t="s">
        <v>138</v>
      </c>
      <c r="BC37">
        <v>37.5741286083151</v>
      </c>
      <c r="BD37">
        <v>126.984690612471</v>
      </c>
      <c r="BE37" t="s">
        <v>393</v>
      </c>
      <c r="BF37" t="s">
        <v>407</v>
      </c>
      <c r="BG37" t="s">
        <v>432</v>
      </c>
      <c r="BH37" t="s">
        <v>468</v>
      </c>
      <c r="BI37" s="3" t="s">
        <v>506</v>
      </c>
      <c r="BJ37">
        <f>HYPERLINK("https://www.google.com/maps/search/?api=1&amp;query=37.5741286083151,126.984690612471", "길찾기")</f>
        <v>0</v>
      </c>
    </row>
    <row r="38" spans="1:62">
      <c r="A38" t="s">
        <v>62</v>
      </c>
      <c r="B38" t="s">
        <v>64</v>
      </c>
      <c r="E38">
        <v>52099240</v>
      </c>
      <c r="F38" t="s">
        <v>107</v>
      </c>
      <c r="G38" s="2">
        <v>45996</v>
      </c>
      <c r="H38" t="s">
        <v>127</v>
      </c>
      <c r="I38" t="s">
        <v>128</v>
      </c>
      <c r="K38" t="s">
        <v>131</v>
      </c>
      <c r="L38" t="s">
        <v>133</v>
      </c>
      <c r="M38" t="s">
        <v>135</v>
      </c>
      <c r="O38" t="s">
        <v>138</v>
      </c>
      <c r="P38">
        <v>86</v>
      </c>
      <c r="Q38">
        <v>117</v>
      </c>
      <c r="R38" t="s">
        <v>140</v>
      </c>
      <c r="S38" t="s">
        <v>141</v>
      </c>
      <c r="T38" t="s">
        <v>145</v>
      </c>
      <c r="U38" t="s">
        <v>153</v>
      </c>
      <c r="V38">
        <v>38000</v>
      </c>
      <c r="W38" t="s">
        <v>165</v>
      </c>
      <c r="Y38" t="s">
        <v>210</v>
      </c>
      <c r="Z38" s="2">
        <v>45996</v>
      </c>
      <c r="AA38" s="2">
        <v>46022</v>
      </c>
      <c r="AB38" s="2">
        <v>45630</v>
      </c>
      <c r="AC38" s="2">
        <v>46724</v>
      </c>
      <c r="AE38" t="s">
        <v>241</v>
      </c>
      <c r="AH38" t="s">
        <v>266</v>
      </c>
      <c r="AI38" t="s">
        <v>307</v>
      </c>
      <c r="AJ38" t="s">
        <v>323</v>
      </c>
      <c r="AK38" t="s">
        <v>323</v>
      </c>
      <c r="AL38" t="s">
        <v>323</v>
      </c>
      <c r="AM38" t="s">
        <v>327</v>
      </c>
      <c r="AR38" t="s">
        <v>331</v>
      </c>
      <c r="AS38" t="s">
        <v>338</v>
      </c>
      <c r="AT38" t="s">
        <v>361</v>
      </c>
      <c r="AV38" t="s">
        <v>373</v>
      </c>
      <c r="AW38" s="2">
        <v>45996</v>
      </c>
      <c r="AX38" t="s">
        <v>375</v>
      </c>
      <c r="AY38">
        <v>0</v>
      </c>
      <c r="AZ38" t="s">
        <v>373</v>
      </c>
      <c r="BA38" s="2">
        <v>45996</v>
      </c>
      <c r="BB38" t="s">
        <v>138</v>
      </c>
      <c r="BC38">
        <v>37.5537792609497</v>
      </c>
      <c r="BD38">
        <v>127.080536887135</v>
      </c>
      <c r="BE38" t="s">
        <v>393</v>
      </c>
      <c r="BF38" t="s">
        <v>403</v>
      </c>
      <c r="BG38" t="s">
        <v>433</v>
      </c>
      <c r="BH38" t="s">
        <v>469</v>
      </c>
      <c r="BI38" s="3" t="s">
        <v>507</v>
      </c>
      <c r="BJ38">
        <f>HYPERLINK("https://www.google.com/maps/search/?api=1&amp;query=37.5537792609497,127.080536887135", "길찾기")</f>
        <v>0</v>
      </c>
    </row>
    <row r="39" spans="1:62">
      <c r="A39" t="s">
        <v>62</v>
      </c>
      <c r="B39" t="s">
        <v>65</v>
      </c>
      <c r="E39">
        <v>50375817</v>
      </c>
      <c r="F39" t="s">
        <v>108</v>
      </c>
      <c r="G39" s="2">
        <v>45994</v>
      </c>
      <c r="H39" t="s">
        <v>127</v>
      </c>
      <c r="I39" t="s">
        <v>128</v>
      </c>
      <c r="K39" t="s">
        <v>131</v>
      </c>
      <c r="L39" t="s">
        <v>133</v>
      </c>
      <c r="M39" t="s">
        <v>134</v>
      </c>
      <c r="O39" t="s">
        <v>138</v>
      </c>
      <c r="P39">
        <v>88</v>
      </c>
      <c r="Q39">
        <v>119</v>
      </c>
      <c r="R39" t="s">
        <v>140</v>
      </c>
      <c r="S39" t="s">
        <v>141</v>
      </c>
      <c r="T39" t="s">
        <v>144</v>
      </c>
      <c r="U39" t="s">
        <v>157</v>
      </c>
      <c r="V39">
        <v>114000</v>
      </c>
      <c r="W39" t="s">
        <v>180</v>
      </c>
      <c r="Y39" t="s">
        <v>211</v>
      </c>
      <c r="Z39" s="2">
        <v>45994</v>
      </c>
      <c r="AA39" s="2">
        <v>46055</v>
      </c>
      <c r="AB39" s="2">
        <v>45962</v>
      </c>
      <c r="AC39" s="2">
        <v>46326</v>
      </c>
      <c r="AD39" t="s">
        <v>234</v>
      </c>
      <c r="AE39" t="s">
        <v>241</v>
      </c>
      <c r="AF39" t="s">
        <v>242</v>
      </c>
      <c r="AG39" s="2">
        <v>46054</v>
      </c>
      <c r="AH39" t="s">
        <v>267</v>
      </c>
      <c r="AI39" t="s">
        <v>308</v>
      </c>
      <c r="AJ39" t="s">
        <v>323</v>
      </c>
      <c r="AK39" t="s">
        <v>323</v>
      </c>
      <c r="AL39" t="s">
        <v>323</v>
      </c>
      <c r="AM39" t="s">
        <v>327</v>
      </c>
      <c r="AR39" t="s">
        <v>334</v>
      </c>
      <c r="AS39" t="s">
        <v>341</v>
      </c>
      <c r="AT39" t="s">
        <v>234</v>
      </c>
      <c r="AU39" t="s">
        <v>372</v>
      </c>
      <c r="AV39" t="s">
        <v>373</v>
      </c>
      <c r="AW39" s="2">
        <v>45994</v>
      </c>
      <c r="AX39">
        <v>0</v>
      </c>
      <c r="AY39">
        <v>0</v>
      </c>
      <c r="AZ39" t="s">
        <v>373</v>
      </c>
      <c r="BA39" s="2">
        <v>45994</v>
      </c>
      <c r="BB39" t="s">
        <v>138</v>
      </c>
      <c r="BC39">
        <v>37.7141699194512</v>
      </c>
      <c r="BD39">
        <v>127.034477959332</v>
      </c>
      <c r="BE39" t="s">
        <v>394</v>
      </c>
      <c r="BF39" t="s">
        <v>408</v>
      </c>
      <c r="BG39" t="s">
        <v>434</v>
      </c>
      <c r="BH39" t="s">
        <v>470</v>
      </c>
      <c r="BI39" s="3" t="s">
        <v>508</v>
      </c>
      <c r="BJ39">
        <f>HYPERLINK("https://www.google.com/maps/search/?api=1&amp;query=37.7141699194512,127.034477959332", "길찾기")</f>
        <v>0</v>
      </c>
    </row>
    <row r="40" spans="1:62">
      <c r="A40" t="s">
        <v>62</v>
      </c>
      <c r="B40" t="s">
        <v>64</v>
      </c>
      <c r="E40">
        <v>51158155</v>
      </c>
      <c r="F40" t="s">
        <v>109</v>
      </c>
      <c r="G40" s="2">
        <v>45994</v>
      </c>
      <c r="H40" t="s">
        <v>127</v>
      </c>
      <c r="I40" t="s">
        <v>128</v>
      </c>
      <c r="K40" t="s">
        <v>131</v>
      </c>
      <c r="L40" t="s">
        <v>133</v>
      </c>
      <c r="M40" t="s">
        <v>135</v>
      </c>
      <c r="O40" t="s">
        <v>138</v>
      </c>
      <c r="P40">
        <v>88</v>
      </c>
      <c r="Q40">
        <v>119</v>
      </c>
      <c r="R40" t="s">
        <v>140</v>
      </c>
      <c r="S40" t="s">
        <v>141</v>
      </c>
      <c r="T40" t="s">
        <v>145</v>
      </c>
      <c r="U40" t="s">
        <v>153</v>
      </c>
      <c r="V40">
        <v>48000</v>
      </c>
      <c r="W40" t="s">
        <v>165</v>
      </c>
      <c r="X40" t="s">
        <v>188</v>
      </c>
      <c r="Y40" t="s">
        <v>212</v>
      </c>
      <c r="Z40" s="2">
        <v>45994</v>
      </c>
      <c r="AA40" s="2">
        <v>46022</v>
      </c>
      <c r="AB40" s="2">
        <v>45870</v>
      </c>
      <c r="AC40" s="2">
        <v>46234</v>
      </c>
      <c r="AE40" t="s">
        <v>241</v>
      </c>
      <c r="AH40" t="s">
        <v>268</v>
      </c>
      <c r="AI40" t="s">
        <v>309</v>
      </c>
      <c r="AJ40" t="s">
        <v>323</v>
      </c>
      <c r="AK40" t="s">
        <v>323</v>
      </c>
      <c r="AL40" t="s">
        <v>323</v>
      </c>
      <c r="AM40" t="s">
        <v>327</v>
      </c>
      <c r="AR40" t="s">
        <v>331</v>
      </c>
      <c r="AS40" t="s">
        <v>338</v>
      </c>
      <c r="AT40" t="s">
        <v>362</v>
      </c>
      <c r="AU40" t="s">
        <v>372</v>
      </c>
      <c r="AV40" t="s">
        <v>373</v>
      </c>
      <c r="AW40" s="2">
        <v>45994</v>
      </c>
      <c r="AX40" t="s">
        <v>375</v>
      </c>
      <c r="AY40">
        <v>0</v>
      </c>
      <c r="AZ40" t="s">
        <v>373</v>
      </c>
      <c r="BA40" s="2">
        <v>45994</v>
      </c>
      <c r="BB40" t="s">
        <v>138</v>
      </c>
      <c r="BC40">
        <v>37.5502741239801</v>
      </c>
      <c r="BD40">
        <v>127.093135225891</v>
      </c>
      <c r="BE40" t="s">
        <v>393</v>
      </c>
      <c r="BF40" t="s">
        <v>403</v>
      </c>
      <c r="BG40" t="s">
        <v>435</v>
      </c>
      <c r="BH40" t="s">
        <v>471</v>
      </c>
      <c r="BI40" s="3" t="s">
        <v>509</v>
      </c>
      <c r="BJ40">
        <f>HYPERLINK("https://www.google.com/maps/search/?api=1&amp;query=37.5502741239801,127.093135225891", "길찾기")</f>
        <v>0</v>
      </c>
    </row>
    <row r="41" spans="1:62">
      <c r="A41" t="s">
        <v>62</v>
      </c>
      <c r="B41" t="s">
        <v>65</v>
      </c>
      <c r="C41" t="s">
        <v>71</v>
      </c>
      <c r="E41">
        <v>51385104</v>
      </c>
      <c r="F41" t="s">
        <v>110</v>
      </c>
      <c r="G41" s="2">
        <v>45992</v>
      </c>
      <c r="H41" t="s">
        <v>127</v>
      </c>
      <c r="I41" t="s">
        <v>128</v>
      </c>
      <c r="J41" t="s">
        <v>130</v>
      </c>
      <c r="K41" t="s">
        <v>131</v>
      </c>
      <c r="L41" t="s">
        <v>133</v>
      </c>
      <c r="M41" t="s">
        <v>134</v>
      </c>
      <c r="N41" t="s">
        <v>136</v>
      </c>
      <c r="O41" t="s">
        <v>138</v>
      </c>
      <c r="P41">
        <v>90</v>
      </c>
      <c r="Q41">
        <v>121</v>
      </c>
      <c r="R41" t="s">
        <v>141</v>
      </c>
      <c r="S41" t="s">
        <v>142</v>
      </c>
      <c r="T41" t="s">
        <v>144</v>
      </c>
      <c r="U41" t="s">
        <v>155</v>
      </c>
      <c r="V41">
        <v>110000</v>
      </c>
      <c r="W41" t="s">
        <v>180</v>
      </c>
      <c r="Y41" t="s">
        <v>213</v>
      </c>
      <c r="Z41" s="2">
        <v>45992</v>
      </c>
      <c r="AA41" s="2">
        <v>46081</v>
      </c>
      <c r="AB41" s="2">
        <v>46055</v>
      </c>
      <c r="AC41" s="2">
        <v>46419</v>
      </c>
      <c r="AD41" t="s">
        <v>235</v>
      </c>
      <c r="AE41" t="s">
        <v>241</v>
      </c>
      <c r="AF41" t="s">
        <v>242</v>
      </c>
      <c r="AG41" s="2">
        <v>46054</v>
      </c>
      <c r="AH41" t="s">
        <v>269</v>
      </c>
      <c r="AI41" t="s">
        <v>310</v>
      </c>
      <c r="AJ41" t="s">
        <v>323</v>
      </c>
      <c r="AK41" t="s">
        <v>323</v>
      </c>
      <c r="AL41" t="s">
        <v>323</v>
      </c>
      <c r="AM41" t="s">
        <v>327</v>
      </c>
      <c r="AR41" t="s">
        <v>334</v>
      </c>
      <c r="AS41" t="s">
        <v>338</v>
      </c>
      <c r="AT41" t="s">
        <v>235</v>
      </c>
      <c r="AU41" t="s">
        <v>372</v>
      </c>
      <c r="AV41" t="s">
        <v>373</v>
      </c>
      <c r="AW41" s="2">
        <v>45992</v>
      </c>
      <c r="AX41">
        <v>0</v>
      </c>
      <c r="AY41">
        <v>0</v>
      </c>
      <c r="AZ41" t="s">
        <v>373</v>
      </c>
      <c r="BA41" s="2">
        <v>45992</v>
      </c>
      <c r="BB41" t="s">
        <v>138</v>
      </c>
      <c r="BC41">
        <v>37.7403538413428</v>
      </c>
      <c r="BD41">
        <v>127.096358976229</v>
      </c>
      <c r="BE41" t="s">
        <v>394</v>
      </c>
      <c r="BF41" t="s">
        <v>408</v>
      </c>
      <c r="BG41" t="s">
        <v>436</v>
      </c>
      <c r="BH41" t="s">
        <v>472</v>
      </c>
      <c r="BI41" s="3" t="s">
        <v>510</v>
      </c>
      <c r="BJ41">
        <f>HYPERLINK("https://www.google.com/maps/search/?api=1&amp;query=37.7403538413428,127.096358976229", "길찾기")</f>
        <v>0</v>
      </c>
    </row>
    <row r="42" spans="1:62">
      <c r="A42" t="s">
        <v>62</v>
      </c>
      <c r="B42" t="s">
        <v>67</v>
      </c>
      <c r="C42" t="s">
        <v>71</v>
      </c>
      <c r="E42">
        <v>51999739</v>
      </c>
      <c r="F42" t="s">
        <v>111</v>
      </c>
      <c r="G42" s="2">
        <v>45992</v>
      </c>
      <c r="H42" t="s">
        <v>127</v>
      </c>
      <c r="I42" t="s">
        <v>128</v>
      </c>
      <c r="J42" t="s">
        <v>130</v>
      </c>
      <c r="K42" t="s">
        <v>131</v>
      </c>
      <c r="L42" t="s">
        <v>133</v>
      </c>
      <c r="M42" t="s">
        <v>134</v>
      </c>
      <c r="N42" t="s">
        <v>136</v>
      </c>
      <c r="O42" t="s">
        <v>138</v>
      </c>
      <c r="P42">
        <v>90</v>
      </c>
      <c r="Q42">
        <v>121</v>
      </c>
      <c r="R42" t="s">
        <v>141</v>
      </c>
      <c r="S42" t="s">
        <v>142</v>
      </c>
      <c r="T42" t="s">
        <v>147</v>
      </c>
      <c r="U42" t="s">
        <v>160</v>
      </c>
      <c r="V42">
        <v>100000</v>
      </c>
      <c r="W42" t="s">
        <v>181</v>
      </c>
      <c r="Y42" t="s">
        <v>214</v>
      </c>
      <c r="Z42" s="2">
        <v>45992</v>
      </c>
      <c r="AA42" s="2">
        <v>46081</v>
      </c>
      <c r="AB42" s="2">
        <v>45462</v>
      </c>
      <c r="AC42" s="2">
        <v>47517</v>
      </c>
      <c r="AD42" t="s">
        <v>236</v>
      </c>
      <c r="AE42" t="s">
        <v>241</v>
      </c>
      <c r="AH42" t="s">
        <v>270</v>
      </c>
      <c r="AI42" t="s">
        <v>311</v>
      </c>
      <c r="AJ42" t="s">
        <v>323</v>
      </c>
      <c r="AK42" t="s">
        <v>323</v>
      </c>
      <c r="AL42" t="s">
        <v>323</v>
      </c>
      <c r="AM42" t="s">
        <v>327</v>
      </c>
      <c r="AR42" t="s">
        <v>335</v>
      </c>
      <c r="AS42" t="s">
        <v>338</v>
      </c>
      <c r="AT42" t="s">
        <v>363</v>
      </c>
      <c r="AV42" t="s">
        <v>373</v>
      </c>
      <c r="AW42" s="2">
        <v>45992</v>
      </c>
      <c r="AX42" t="s">
        <v>385</v>
      </c>
      <c r="AY42">
        <v>0</v>
      </c>
      <c r="AZ42" t="s">
        <v>373</v>
      </c>
      <c r="BA42" s="2">
        <v>45992</v>
      </c>
      <c r="BB42" t="s">
        <v>138</v>
      </c>
      <c r="BC42">
        <v>37.5769946840177</v>
      </c>
      <c r="BD42">
        <v>127.004338052474</v>
      </c>
      <c r="BE42" t="s">
        <v>393</v>
      </c>
      <c r="BF42" t="s">
        <v>407</v>
      </c>
      <c r="BG42" t="s">
        <v>437</v>
      </c>
      <c r="BH42" t="s">
        <v>473</v>
      </c>
      <c r="BI42" s="3" t="s">
        <v>511</v>
      </c>
      <c r="BJ42">
        <f>HYPERLINK("https://www.google.com/maps/search/?api=1&amp;query=37.5769946840177,127.004338052474", "길찾기")</f>
        <v>0</v>
      </c>
    </row>
    <row r="43" spans="1:62">
      <c r="A43" t="s">
        <v>62</v>
      </c>
      <c r="B43" t="s">
        <v>65</v>
      </c>
      <c r="C43" t="s">
        <v>71</v>
      </c>
      <c r="E43">
        <v>51703626</v>
      </c>
      <c r="F43" t="s">
        <v>112</v>
      </c>
      <c r="G43" s="2">
        <v>45985</v>
      </c>
      <c r="H43" t="s">
        <v>127</v>
      </c>
      <c r="I43" t="s">
        <v>128</v>
      </c>
      <c r="J43" t="s">
        <v>130</v>
      </c>
      <c r="K43" t="s">
        <v>131</v>
      </c>
      <c r="L43" t="s">
        <v>133</v>
      </c>
      <c r="M43" t="s">
        <v>134</v>
      </c>
      <c r="N43" t="s">
        <v>136</v>
      </c>
      <c r="O43" t="s">
        <v>138</v>
      </c>
      <c r="P43">
        <v>97</v>
      </c>
      <c r="Q43">
        <v>128</v>
      </c>
      <c r="R43" t="s">
        <v>141</v>
      </c>
      <c r="S43" t="s">
        <v>142</v>
      </c>
      <c r="T43" t="s">
        <v>144</v>
      </c>
      <c r="U43" t="s">
        <v>163</v>
      </c>
      <c r="V43">
        <v>145000</v>
      </c>
      <c r="W43" t="s">
        <v>171</v>
      </c>
      <c r="Y43" t="s">
        <v>215</v>
      </c>
      <c r="Z43" s="2">
        <v>45985</v>
      </c>
      <c r="AA43" s="2">
        <v>46076</v>
      </c>
      <c r="AB43" s="2">
        <v>45962</v>
      </c>
      <c r="AC43" s="2">
        <v>46326</v>
      </c>
      <c r="AD43" t="s">
        <v>237</v>
      </c>
      <c r="AE43" t="s">
        <v>241</v>
      </c>
      <c r="AH43" t="s">
        <v>271</v>
      </c>
      <c r="AI43" t="s">
        <v>312</v>
      </c>
      <c r="AJ43" t="s">
        <v>323</v>
      </c>
      <c r="AK43" t="s">
        <v>323</v>
      </c>
      <c r="AL43" t="s">
        <v>323</v>
      </c>
      <c r="AM43" t="s">
        <v>328</v>
      </c>
      <c r="AR43" t="s">
        <v>334</v>
      </c>
      <c r="AS43" t="s">
        <v>341</v>
      </c>
      <c r="AT43" t="s">
        <v>237</v>
      </c>
      <c r="AV43" t="s">
        <v>373</v>
      </c>
      <c r="AW43" s="2">
        <v>45985</v>
      </c>
      <c r="AX43">
        <v>0</v>
      </c>
      <c r="AY43">
        <v>0</v>
      </c>
      <c r="AZ43" t="s">
        <v>373</v>
      </c>
      <c r="BA43" s="2">
        <v>45985</v>
      </c>
      <c r="BB43" t="s">
        <v>138</v>
      </c>
      <c r="BC43">
        <v>37.8246285211534</v>
      </c>
      <c r="BD43">
        <v>126.983684913461</v>
      </c>
      <c r="BE43" t="s">
        <v>394</v>
      </c>
      <c r="BF43" t="s">
        <v>402</v>
      </c>
      <c r="BG43" t="s">
        <v>438</v>
      </c>
      <c r="BH43" t="s">
        <v>474</v>
      </c>
      <c r="BI43" s="3" t="s">
        <v>512</v>
      </c>
      <c r="BJ43">
        <f>HYPERLINK("https://www.google.com/maps/search/?api=1&amp;query=37.8246285211534,126.983684913461", "길찾기")</f>
        <v>0</v>
      </c>
    </row>
    <row r="44" spans="1:62">
      <c r="A44" t="s">
        <v>62</v>
      </c>
      <c r="B44" t="s">
        <v>67</v>
      </c>
      <c r="C44" t="s">
        <v>71</v>
      </c>
      <c r="E44">
        <v>51900970</v>
      </c>
      <c r="F44" t="s">
        <v>113</v>
      </c>
      <c r="G44" s="2">
        <v>45982</v>
      </c>
      <c r="H44" t="s">
        <v>127</v>
      </c>
      <c r="I44" t="s">
        <v>128</v>
      </c>
      <c r="J44" t="s">
        <v>130</v>
      </c>
      <c r="K44" t="s">
        <v>131</v>
      </c>
      <c r="L44" t="s">
        <v>133</v>
      </c>
      <c r="M44" t="s">
        <v>135</v>
      </c>
      <c r="N44" t="s">
        <v>136</v>
      </c>
      <c r="O44" t="s">
        <v>138</v>
      </c>
      <c r="P44">
        <v>100</v>
      </c>
      <c r="Q44">
        <v>131</v>
      </c>
      <c r="R44" t="s">
        <v>141</v>
      </c>
      <c r="S44" t="s">
        <v>142</v>
      </c>
      <c r="T44" t="s">
        <v>145</v>
      </c>
      <c r="U44" t="s">
        <v>151</v>
      </c>
      <c r="V44">
        <v>35000</v>
      </c>
      <c r="W44" t="s">
        <v>182</v>
      </c>
      <c r="Y44" t="s">
        <v>216</v>
      </c>
      <c r="Z44" s="2">
        <v>45982</v>
      </c>
      <c r="AA44" s="2">
        <v>46083</v>
      </c>
      <c r="AB44" s="2">
        <v>45259</v>
      </c>
      <c r="AC44" s="2">
        <v>46354</v>
      </c>
      <c r="AE44" t="s">
        <v>241</v>
      </c>
      <c r="AH44" t="s">
        <v>272</v>
      </c>
      <c r="AI44" t="s">
        <v>313</v>
      </c>
      <c r="AJ44" t="s">
        <v>323</v>
      </c>
      <c r="AK44" t="s">
        <v>323</v>
      </c>
      <c r="AL44" t="s">
        <v>323</v>
      </c>
      <c r="AM44" t="s">
        <v>328</v>
      </c>
      <c r="AR44" t="s">
        <v>331</v>
      </c>
      <c r="AS44" t="s">
        <v>339</v>
      </c>
      <c r="AT44" t="s">
        <v>364</v>
      </c>
      <c r="AV44" t="s">
        <v>373</v>
      </c>
      <c r="AW44" s="2">
        <v>45982</v>
      </c>
      <c r="AX44" t="s">
        <v>386</v>
      </c>
      <c r="AY44">
        <v>0</v>
      </c>
      <c r="AZ44" t="s">
        <v>373</v>
      </c>
      <c r="BA44" s="2">
        <v>45982</v>
      </c>
      <c r="BB44" t="s">
        <v>138</v>
      </c>
      <c r="BC44">
        <v>37.5620157313143</v>
      </c>
      <c r="BD44">
        <v>127.014442188261</v>
      </c>
      <c r="BE44" t="s">
        <v>393</v>
      </c>
      <c r="BF44" t="s">
        <v>409</v>
      </c>
      <c r="BG44" t="s">
        <v>439</v>
      </c>
      <c r="BH44" t="s">
        <v>475</v>
      </c>
      <c r="BI44" s="3" t="s">
        <v>513</v>
      </c>
      <c r="BJ44">
        <f>HYPERLINK("https://www.google.com/maps/search/?api=1&amp;query=37.5620157313143,127.014442188261", "길찾기")</f>
        <v>0</v>
      </c>
    </row>
    <row r="45" spans="1:62">
      <c r="A45" t="s">
        <v>62</v>
      </c>
      <c r="B45" t="s">
        <v>65</v>
      </c>
      <c r="C45" t="s">
        <v>71</v>
      </c>
      <c r="E45">
        <v>51895268</v>
      </c>
      <c r="F45" t="s">
        <v>114</v>
      </c>
      <c r="G45" s="2">
        <v>45979</v>
      </c>
      <c r="H45" t="s">
        <v>127</v>
      </c>
      <c r="I45" t="s">
        <v>128</v>
      </c>
      <c r="J45" t="s">
        <v>130</v>
      </c>
      <c r="K45" t="s">
        <v>131</v>
      </c>
      <c r="L45" t="s">
        <v>133</v>
      </c>
      <c r="M45" t="s">
        <v>135</v>
      </c>
      <c r="N45" t="s">
        <v>136</v>
      </c>
      <c r="O45" t="s">
        <v>138</v>
      </c>
      <c r="P45">
        <v>103</v>
      </c>
      <c r="Q45">
        <v>134</v>
      </c>
      <c r="R45" t="s">
        <v>141</v>
      </c>
      <c r="S45" t="s">
        <v>142</v>
      </c>
      <c r="T45" t="s">
        <v>145</v>
      </c>
      <c r="U45" t="s">
        <v>153</v>
      </c>
      <c r="V45">
        <v>40000</v>
      </c>
      <c r="W45" t="s">
        <v>171</v>
      </c>
      <c r="Y45" t="s">
        <v>217</v>
      </c>
      <c r="Z45" s="2">
        <v>45979</v>
      </c>
      <c r="AA45" s="2">
        <v>46008</v>
      </c>
      <c r="AB45" s="2">
        <v>45246</v>
      </c>
      <c r="AC45" s="2">
        <v>46341</v>
      </c>
      <c r="AE45" t="s">
        <v>241</v>
      </c>
      <c r="AH45" t="s">
        <v>273</v>
      </c>
      <c r="AI45" t="s">
        <v>314</v>
      </c>
      <c r="AJ45" t="s">
        <v>323</v>
      </c>
      <c r="AK45" t="s">
        <v>323</v>
      </c>
      <c r="AL45" t="s">
        <v>323</v>
      </c>
      <c r="AM45" t="s">
        <v>328</v>
      </c>
      <c r="AR45" t="s">
        <v>331</v>
      </c>
      <c r="AS45" t="s">
        <v>339</v>
      </c>
      <c r="AT45" t="s">
        <v>365</v>
      </c>
      <c r="AV45" t="s">
        <v>373</v>
      </c>
      <c r="AW45" s="2">
        <v>45979</v>
      </c>
      <c r="AX45">
        <v>0</v>
      </c>
      <c r="AY45">
        <v>0</v>
      </c>
      <c r="AZ45" t="s">
        <v>373</v>
      </c>
      <c r="BA45" s="2">
        <v>45979</v>
      </c>
      <c r="BB45" t="s">
        <v>138</v>
      </c>
      <c r="BC45">
        <v>37.8200125084859</v>
      </c>
      <c r="BD45">
        <v>127.088271333497</v>
      </c>
      <c r="BE45" t="s">
        <v>394</v>
      </c>
      <c r="BF45" t="s">
        <v>402</v>
      </c>
      <c r="BG45" t="s">
        <v>440</v>
      </c>
      <c r="BH45" t="s">
        <v>476</v>
      </c>
      <c r="BI45" s="3" t="s">
        <v>514</v>
      </c>
      <c r="BJ45">
        <f>HYPERLINK("https://www.google.com/maps/search/?api=1&amp;query=37.8200125084859,127.088271333497", "길찾기")</f>
        <v>0</v>
      </c>
    </row>
    <row r="46" spans="1:62">
      <c r="A46" t="s">
        <v>62</v>
      </c>
      <c r="B46" t="s">
        <v>69</v>
      </c>
      <c r="C46" t="s">
        <v>71</v>
      </c>
      <c r="E46">
        <v>51908782</v>
      </c>
      <c r="F46" t="s">
        <v>115</v>
      </c>
      <c r="G46" s="2">
        <v>45973</v>
      </c>
      <c r="H46" t="s">
        <v>127</v>
      </c>
      <c r="I46" t="s">
        <v>128</v>
      </c>
      <c r="J46" t="s">
        <v>130</v>
      </c>
      <c r="K46" t="s">
        <v>131</v>
      </c>
      <c r="L46" t="s">
        <v>133</v>
      </c>
      <c r="M46" t="s">
        <v>135</v>
      </c>
      <c r="N46" t="s">
        <v>136</v>
      </c>
      <c r="O46" t="s">
        <v>138</v>
      </c>
      <c r="P46">
        <v>109</v>
      </c>
      <c r="Q46">
        <v>140</v>
      </c>
      <c r="R46" t="s">
        <v>141</v>
      </c>
      <c r="S46" t="s">
        <v>142</v>
      </c>
      <c r="T46" t="s">
        <v>145</v>
      </c>
      <c r="U46" t="s">
        <v>153</v>
      </c>
      <c r="V46">
        <v>35000</v>
      </c>
      <c r="W46" t="s">
        <v>174</v>
      </c>
      <c r="Y46" t="s">
        <v>218</v>
      </c>
      <c r="Z46" s="2">
        <v>45973</v>
      </c>
      <c r="AA46" s="2">
        <v>46053</v>
      </c>
      <c r="AB46" s="2">
        <v>45273</v>
      </c>
      <c r="AC46" s="2">
        <v>46368</v>
      </c>
      <c r="AE46" t="s">
        <v>241</v>
      </c>
      <c r="AH46" t="s">
        <v>274</v>
      </c>
      <c r="AI46" t="s">
        <v>315</v>
      </c>
      <c r="AJ46" t="s">
        <v>323</v>
      </c>
      <c r="AK46" t="s">
        <v>323</v>
      </c>
      <c r="AL46" t="s">
        <v>323</v>
      </c>
      <c r="AM46" t="s">
        <v>328</v>
      </c>
      <c r="AR46" t="s">
        <v>331</v>
      </c>
      <c r="AS46" t="s">
        <v>338</v>
      </c>
      <c r="AT46" t="s">
        <v>366</v>
      </c>
      <c r="AV46" t="s">
        <v>373</v>
      </c>
      <c r="AW46" s="2">
        <v>45973</v>
      </c>
      <c r="AX46" t="s">
        <v>380</v>
      </c>
      <c r="AY46">
        <v>0</v>
      </c>
      <c r="AZ46" t="s">
        <v>373</v>
      </c>
      <c r="BA46" s="2">
        <v>45973</v>
      </c>
      <c r="BB46" t="s">
        <v>138</v>
      </c>
      <c r="BC46">
        <v>37.6546360151584</v>
      </c>
      <c r="BD46">
        <v>126.841233504888</v>
      </c>
      <c r="BE46" t="s">
        <v>394</v>
      </c>
      <c r="BF46" t="s">
        <v>404</v>
      </c>
      <c r="BG46" t="s">
        <v>441</v>
      </c>
      <c r="BH46" t="s">
        <v>477</v>
      </c>
      <c r="BI46" s="3" t="s">
        <v>515</v>
      </c>
      <c r="BJ46">
        <f>HYPERLINK("https://www.google.com/maps/search/?api=1&amp;query=37.6546360151584,126.841233504888", "길찾기")</f>
        <v>0</v>
      </c>
    </row>
    <row r="47" spans="1:62">
      <c r="A47" t="s">
        <v>62</v>
      </c>
      <c r="B47" t="s">
        <v>69</v>
      </c>
      <c r="C47" t="s">
        <v>71</v>
      </c>
      <c r="E47">
        <v>52027800</v>
      </c>
      <c r="F47" t="s">
        <v>116</v>
      </c>
      <c r="G47" s="2">
        <v>45973</v>
      </c>
      <c r="H47" t="s">
        <v>127</v>
      </c>
      <c r="I47" t="s">
        <v>128</v>
      </c>
      <c r="J47" t="s">
        <v>130</v>
      </c>
      <c r="K47" t="s">
        <v>131</v>
      </c>
      <c r="L47" t="s">
        <v>133</v>
      </c>
      <c r="M47" t="s">
        <v>135</v>
      </c>
      <c r="N47" t="s">
        <v>136</v>
      </c>
      <c r="O47" t="s">
        <v>138</v>
      </c>
      <c r="P47">
        <v>109</v>
      </c>
      <c r="Q47">
        <v>140</v>
      </c>
      <c r="R47" t="s">
        <v>141</v>
      </c>
      <c r="S47" t="s">
        <v>142</v>
      </c>
      <c r="T47" t="s">
        <v>147</v>
      </c>
      <c r="U47" t="s">
        <v>151</v>
      </c>
      <c r="V47">
        <v>80000</v>
      </c>
      <c r="W47" t="s">
        <v>170</v>
      </c>
      <c r="Y47" t="s">
        <v>219</v>
      </c>
      <c r="Z47" s="2">
        <v>45973</v>
      </c>
      <c r="AA47" s="2">
        <v>46003</v>
      </c>
      <c r="AB47" s="2">
        <v>45512</v>
      </c>
      <c r="AC47" s="2">
        <v>46853</v>
      </c>
      <c r="AD47" t="s">
        <v>238</v>
      </c>
      <c r="AE47" t="s">
        <v>241</v>
      </c>
      <c r="AH47" t="s">
        <v>275</v>
      </c>
      <c r="AI47" t="s">
        <v>316</v>
      </c>
      <c r="AJ47" t="s">
        <v>324</v>
      </c>
      <c r="AK47" t="s">
        <v>325</v>
      </c>
      <c r="AL47" t="s">
        <v>326</v>
      </c>
      <c r="AM47" t="s">
        <v>328</v>
      </c>
      <c r="AR47" t="s">
        <v>332</v>
      </c>
      <c r="AS47" t="s">
        <v>338</v>
      </c>
      <c r="AT47" t="s">
        <v>238</v>
      </c>
      <c r="AV47" t="s">
        <v>373</v>
      </c>
      <c r="AW47" s="2">
        <v>45973</v>
      </c>
      <c r="AX47" t="s">
        <v>377</v>
      </c>
      <c r="AY47">
        <v>0</v>
      </c>
      <c r="AZ47" t="s">
        <v>373</v>
      </c>
      <c r="BA47" s="2">
        <v>45973</v>
      </c>
      <c r="BB47" t="s">
        <v>138</v>
      </c>
      <c r="BC47">
        <v>37.7375674011586</v>
      </c>
      <c r="BD47">
        <v>126.732680218643</v>
      </c>
      <c r="BE47" t="s">
        <v>394</v>
      </c>
      <c r="BF47" t="s">
        <v>401</v>
      </c>
      <c r="BG47" t="s">
        <v>442</v>
      </c>
      <c r="BH47" t="s">
        <v>478</v>
      </c>
      <c r="BI47" s="3" t="s">
        <v>516</v>
      </c>
      <c r="BJ47">
        <f>HYPERLINK("https://www.google.com/maps/search/?api=1&amp;query=37.7375674011586,126.732680218643", "길찾기")</f>
        <v>0</v>
      </c>
    </row>
    <row r="48" spans="1:62">
      <c r="A48" t="s">
        <v>62</v>
      </c>
      <c r="B48" t="s">
        <v>65</v>
      </c>
      <c r="C48" t="s">
        <v>71</v>
      </c>
      <c r="E48">
        <v>51976175</v>
      </c>
      <c r="F48" t="s">
        <v>117</v>
      </c>
      <c r="G48" s="2">
        <v>45970</v>
      </c>
      <c r="H48" t="s">
        <v>127</v>
      </c>
      <c r="I48" t="s">
        <v>128</v>
      </c>
      <c r="J48" t="s">
        <v>130</v>
      </c>
      <c r="K48" t="s">
        <v>131</v>
      </c>
      <c r="L48" t="s">
        <v>133</v>
      </c>
      <c r="M48" t="s">
        <v>134</v>
      </c>
      <c r="N48" t="s">
        <v>136</v>
      </c>
      <c r="O48" t="s">
        <v>138</v>
      </c>
      <c r="P48">
        <v>112</v>
      </c>
      <c r="Q48">
        <v>143</v>
      </c>
      <c r="R48" t="s">
        <v>141</v>
      </c>
      <c r="S48" t="s">
        <v>142</v>
      </c>
      <c r="T48" t="s">
        <v>147</v>
      </c>
      <c r="U48" t="s">
        <v>163</v>
      </c>
      <c r="V48">
        <v>80000</v>
      </c>
      <c r="W48" t="s">
        <v>183</v>
      </c>
      <c r="Y48" t="s">
        <v>220</v>
      </c>
      <c r="Z48" s="2">
        <v>45970</v>
      </c>
      <c r="AA48" s="2">
        <v>46022</v>
      </c>
      <c r="AB48" s="2">
        <v>45415</v>
      </c>
      <c r="AC48" s="2">
        <v>46509</v>
      </c>
      <c r="AE48" t="s">
        <v>241</v>
      </c>
      <c r="AF48" t="s">
        <v>242</v>
      </c>
      <c r="AG48" s="2">
        <v>46054</v>
      </c>
      <c r="AH48" t="s">
        <v>276</v>
      </c>
      <c r="AI48" t="s">
        <v>317</v>
      </c>
      <c r="AJ48" t="s">
        <v>323</v>
      </c>
      <c r="AK48" t="s">
        <v>323</v>
      </c>
      <c r="AL48" t="s">
        <v>323</v>
      </c>
      <c r="AM48" t="s">
        <v>328</v>
      </c>
      <c r="AR48" t="s">
        <v>331</v>
      </c>
      <c r="AS48" t="s">
        <v>338</v>
      </c>
      <c r="AT48" t="s">
        <v>367</v>
      </c>
      <c r="AU48" t="s">
        <v>372</v>
      </c>
      <c r="AV48" t="s">
        <v>373</v>
      </c>
      <c r="AW48" s="2">
        <v>45970</v>
      </c>
      <c r="AX48">
        <v>0</v>
      </c>
      <c r="AY48">
        <v>0</v>
      </c>
      <c r="AZ48" t="s">
        <v>373</v>
      </c>
      <c r="BA48" s="2">
        <v>45970</v>
      </c>
      <c r="BB48" t="s">
        <v>138</v>
      </c>
      <c r="BC48">
        <v>37.8169633505851</v>
      </c>
      <c r="BD48">
        <v>127.17787549382</v>
      </c>
      <c r="BE48" t="s">
        <v>394</v>
      </c>
      <c r="BF48" t="s">
        <v>398</v>
      </c>
      <c r="BH48" t="s">
        <v>479</v>
      </c>
      <c r="BI48" s="3" t="s">
        <v>517</v>
      </c>
      <c r="BJ48">
        <f>HYPERLINK("https://www.google.com/maps/search/?api=1&amp;query=37.8169633505851,127.17787549382", "길찾기")</f>
        <v>0</v>
      </c>
    </row>
    <row r="49" spans="1:62">
      <c r="A49" t="s">
        <v>62</v>
      </c>
      <c r="B49" t="s">
        <v>68</v>
      </c>
      <c r="C49" t="s">
        <v>71</v>
      </c>
      <c r="E49">
        <v>20535772</v>
      </c>
      <c r="F49" t="s">
        <v>118</v>
      </c>
      <c r="G49" s="2">
        <v>45967</v>
      </c>
      <c r="H49" t="s">
        <v>127</v>
      </c>
      <c r="I49" t="s">
        <v>128</v>
      </c>
      <c r="J49" t="s">
        <v>130</v>
      </c>
      <c r="K49" t="s">
        <v>131</v>
      </c>
      <c r="L49" t="s">
        <v>133</v>
      </c>
      <c r="M49" t="s">
        <v>135</v>
      </c>
      <c r="N49" t="s">
        <v>136</v>
      </c>
      <c r="O49" t="s">
        <v>138</v>
      </c>
      <c r="P49">
        <v>115</v>
      </c>
      <c r="Q49">
        <v>146</v>
      </c>
      <c r="R49" t="s">
        <v>141</v>
      </c>
      <c r="S49" t="s">
        <v>142</v>
      </c>
      <c r="T49" t="s">
        <v>146</v>
      </c>
      <c r="U49" t="s">
        <v>151</v>
      </c>
      <c r="V49">
        <v>60000</v>
      </c>
      <c r="W49" t="s">
        <v>184</v>
      </c>
      <c r="Y49" t="s">
        <v>221</v>
      </c>
      <c r="Z49" s="2">
        <v>45967</v>
      </c>
      <c r="AA49" s="2">
        <v>46059</v>
      </c>
      <c r="AB49" s="2">
        <v>45962</v>
      </c>
      <c r="AC49" s="2">
        <v>46326</v>
      </c>
      <c r="AD49" t="s">
        <v>239</v>
      </c>
      <c r="AE49" t="s">
        <v>241</v>
      </c>
      <c r="AH49" t="s">
        <v>277</v>
      </c>
      <c r="AI49" t="s">
        <v>318</v>
      </c>
      <c r="AJ49" t="s">
        <v>323</v>
      </c>
      <c r="AK49" t="s">
        <v>323</v>
      </c>
      <c r="AL49" t="s">
        <v>323</v>
      </c>
      <c r="AM49" t="s">
        <v>328</v>
      </c>
      <c r="AR49" t="s">
        <v>336</v>
      </c>
      <c r="AS49" t="s">
        <v>339</v>
      </c>
      <c r="AT49" t="s">
        <v>239</v>
      </c>
      <c r="AV49" t="s">
        <v>373</v>
      </c>
      <c r="AW49" s="2">
        <v>45967</v>
      </c>
      <c r="AX49" t="s">
        <v>387</v>
      </c>
      <c r="AY49">
        <v>0</v>
      </c>
      <c r="AZ49" t="s">
        <v>373</v>
      </c>
      <c r="BA49" s="2">
        <v>45967</v>
      </c>
      <c r="BB49" t="s">
        <v>138</v>
      </c>
      <c r="BC49">
        <v>37.4907265644956</v>
      </c>
      <c r="BD49">
        <v>127.427655549981</v>
      </c>
      <c r="BE49" t="s">
        <v>394</v>
      </c>
      <c r="BF49" t="s">
        <v>410</v>
      </c>
      <c r="BG49" t="s">
        <v>443</v>
      </c>
      <c r="BH49" t="s">
        <v>480</v>
      </c>
      <c r="BI49" s="3" t="s">
        <v>518</v>
      </c>
      <c r="BJ49">
        <f>HYPERLINK("https://www.google.com/maps/search/?api=1&amp;query=37.4907265644956,127.427655549981", "길찾기")</f>
        <v>0</v>
      </c>
    </row>
    <row r="50" spans="1:62">
      <c r="A50" t="s">
        <v>62</v>
      </c>
      <c r="B50" t="s">
        <v>69</v>
      </c>
      <c r="E50">
        <v>50225813</v>
      </c>
      <c r="F50" t="s">
        <v>119</v>
      </c>
      <c r="G50" s="2">
        <v>45964</v>
      </c>
      <c r="H50" t="s">
        <v>127</v>
      </c>
      <c r="I50" t="s">
        <v>128</v>
      </c>
      <c r="J50" t="s">
        <v>130</v>
      </c>
      <c r="K50" t="s">
        <v>132</v>
      </c>
      <c r="L50" t="s">
        <v>133</v>
      </c>
      <c r="M50" t="s">
        <v>134</v>
      </c>
      <c r="N50" t="s">
        <v>136</v>
      </c>
      <c r="O50" t="s">
        <v>138</v>
      </c>
      <c r="P50">
        <v>118</v>
      </c>
      <c r="Q50">
        <v>149</v>
      </c>
      <c r="R50" t="s">
        <v>141</v>
      </c>
      <c r="S50" t="s">
        <v>142</v>
      </c>
      <c r="T50" t="s">
        <v>146</v>
      </c>
      <c r="U50" t="s">
        <v>157</v>
      </c>
      <c r="V50">
        <v>65000</v>
      </c>
      <c r="W50" t="s">
        <v>172</v>
      </c>
      <c r="Y50" t="s">
        <v>199</v>
      </c>
      <c r="Z50" s="2">
        <v>45964</v>
      </c>
      <c r="AA50" s="2">
        <v>45994</v>
      </c>
      <c r="AB50" s="2">
        <v>46055</v>
      </c>
      <c r="AC50" s="2">
        <v>46419</v>
      </c>
      <c r="AD50" t="s">
        <v>240</v>
      </c>
      <c r="AE50" t="s">
        <v>241</v>
      </c>
      <c r="AF50" t="s">
        <v>242</v>
      </c>
      <c r="AG50" s="2">
        <v>46054</v>
      </c>
      <c r="AH50" t="s">
        <v>254</v>
      </c>
      <c r="AI50" t="s">
        <v>293</v>
      </c>
      <c r="AJ50" t="s">
        <v>323</v>
      </c>
      <c r="AK50" t="s">
        <v>323</v>
      </c>
      <c r="AL50" t="s">
        <v>323</v>
      </c>
      <c r="AM50" t="s">
        <v>328</v>
      </c>
      <c r="AR50" t="s">
        <v>332</v>
      </c>
      <c r="AS50" t="s">
        <v>338</v>
      </c>
      <c r="AT50" t="s">
        <v>240</v>
      </c>
      <c r="AU50" t="s">
        <v>372</v>
      </c>
      <c r="AV50" t="s">
        <v>373</v>
      </c>
      <c r="AW50" s="2">
        <v>45964</v>
      </c>
      <c r="AX50" t="s">
        <v>378</v>
      </c>
      <c r="AY50">
        <v>0</v>
      </c>
      <c r="AZ50" t="s">
        <v>373</v>
      </c>
      <c r="BA50" s="2">
        <v>45964</v>
      </c>
      <c r="BB50" t="s">
        <v>138</v>
      </c>
      <c r="BC50">
        <v>37.8025424016272</v>
      </c>
      <c r="BD50">
        <v>126.716245034905</v>
      </c>
      <c r="BE50" t="s">
        <v>394</v>
      </c>
      <c r="BF50" t="s">
        <v>401</v>
      </c>
      <c r="BG50" t="s">
        <v>422</v>
      </c>
      <c r="BH50" t="s">
        <v>458</v>
      </c>
      <c r="BI50" s="3" t="s">
        <v>496</v>
      </c>
      <c r="BJ50">
        <f>HYPERLINK("https://www.google.com/maps/search/?api=1&amp;query=37.8025424016272,126.716245034905", "길찾기")</f>
        <v>0</v>
      </c>
    </row>
    <row r="51" spans="1:62">
      <c r="A51" t="s">
        <v>62</v>
      </c>
      <c r="B51" t="s">
        <v>68</v>
      </c>
      <c r="C51" t="s">
        <v>71</v>
      </c>
      <c r="E51">
        <v>52014567</v>
      </c>
      <c r="F51" t="s">
        <v>120</v>
      </c>
      <c r="G51" s="2">
        <v>45962</v>
      </c>
      <c r="H51" t="s">
        <v>127</v>
      </c>
      <c r="I51" t="s">
        <v>128</v>
      </c>
      <c r="J51" t="s">
        <v>130</v>
      </c>
      <c r="K51" t="s">
        <v>131</v>
      </c>
      <c r="L51" t="s">
        <v>133</v>
      </c>
      <c r="M51" t="s">
        <v>135</v>
      </c>
      <c r="N51" t="s">
        <v>136</v>
      </c>
      <c r="O51" t="s">
        <v>138</v>
      </c>
      <c r="P51">
        <v>120</v>
      </c>
      <c r="Q51">
        <v>151</v>
      </c>
      <c r="R51" t="s">
        <v>142</v>
      </c>
      <c r="S51" t="s">
        <v>143</v>
      </c>
      <c r="T51" t="s">
        <v>147</v>
      </c>
      <c r="U51" t="s">
        <v>151</v>
      </c>
      <c r="V51">
        <v>83000</v>
      </c>
      <c r="W51" t="s">
        <v>184</v>
      </c>
      <c r="Y51" t="s">
        <v>222</v>
      </c>
      <c r="Z51" s="2">
        <v>45962</v>
      </c>
      <c r="AA51" s="2">
        <v>45992</v>
      </c>
      <c r="AB51" s="2">
        <v>45488</v>
      </c>
      <c r="AC51" s="2">
        <v>46582</v>
      </c>
      <c r="AE51" t="s">
        <v>241</v>
      </c>
      <c r="AH51" t="s">
        <v>278</v>
      </c>
      <c r="AI51" t="s">
        <v>319</v>
      </c>
      <c r="AJ51" t="s">
        <v>323</v>
      </c>
      <c r="AK51" t="s">
        <v>323</v>
      </c>
      <c r="AL51" t="s">
        <v>323</v>
      </c>
      <c r="AM51" t="s">
        <v>328</v>
      </c>
      <c r="AR51" t="s">
        <v>331</v>
      </c>
      <c r="AS51" t="s">
        <v>338</v>
      </c>
      <c r="AT51" t="s">
        <v>368</v>
      </c>
      <c r="AV51" t="s">
        <v>373</v>
      </c>
      <c r="AW51" s="2">
        <v>45962</v>
      </c>
      <c r="AX51" t="s">
        <v>388</v>
      </c>
      <c r="AY51">
        <v>0</v>
      </c>
      <c r="AZ51" t="s">
        <v>373</v>
      </c>
      <c r="BA51" s="2">
        <v>45962</v>
      </c>
      <c r="BB51" t="s">
        <v>138</v>
      </c>
      <c r="BC51">
        <v>37.4889036515229</v>
      </c>
      <c r="BD51">
        <v>127.599161344743</v>
      </c>
      <c r="BE51" t="s">
        <v>394</v>
      </c>
      <c r="BF51" t="s">
        <v>410</v>
      </c>
      <c r="BG51" t="s">
        <v>444</v>
      </c>
      <c r="BH51" t="s">
        <v>481</v>
      </c>
      <c r="BI51" s="3" t="s">
        <v>519</v>
      </c>
      <c r="BJ51">
        <f>HYPERLINK("https://www.google.com/maps/search/?api=1&amp;query=37.4889036515229,127.599161344743", "길찾기")</f>
        <v>0</v>
      </c>
    </row>
    <row r="52" spans="1:62">
      <c r="A52" t="s">
        <v>62</v>
      </c>
      <c r="B52" t="s">
        <v>67</v>
      </c>
      <c r="C52" t="s">
        <v>71</v>
      </c>
      <c r="E52">
        <v>52219144</v>
      </c>
      <c r="F52" t="s">
        <v>121</v>
      </c>
      <c r="G52" s="2">
        <v>45959</v>
      </c>
      <c r="H52" t="s">
        <v>127</v>
      </c>
      <c r="I52" t="s">
        <v>128</v>
      </c>
      <c r="J52" t="s">
        <v>130</v>
      </c>
      <c r="K52" t="s">
        <v>131</v>
      </c>
      <c r="L52" t="s">
        <v>133</v>
      </c>
      <c r="M52" t="s">
        <v>135</v>
      </c>
      <c r="N52" t="s">
        <v>136</v>
      </c>
      <c r="O52" t="s">
        <v>138</v>
      </c>
      <c r="P52">
        <v>123</v>
      </c>
      <c r="Q52">
        <v>154</v>
      </c>
      <c r="R52" t="s">
        <v>142</v>
      </c>
      <c r="S52" t="s">
        <v>143</v>
      </c>
      <c r="T52" t="s">
        <v>145</v>
      </c>
      <c r="U52" t="s">
        <v>153</v>
      </c>
      <c r="V52">
        <v>40000</v>
      </c>
      <c r="W52" t="s">
        <v>185</v>
      </c>
      <c r="Y52" t="s">
        <v>223</v>
      </c>
      <c r="Z52" s="2">
        <v>45959</v>
      </c>
      <c r="AA52" s="2">
        <v>46081</v>
      </c>
      <c r="AB52" s="2">
        <v>45772</v>
      </c>
      <c r="AC52" s="2">
        <v>46867</v>
      </c>
      <c r="AE52" t="s">
        <v>241</v>
      </c>
      <c r="AH52" t="s">
        <v>279</v>
      </c>
      <c r="AI52" t="s">
        <v>320</v>
      </c>
      <c r="AJ52" t="s">
        <v>323</v>
      </c>
      <c r="AK52" t="s">
        <v>323</v>
      </c>
      <c r="AL52" t="s">
        <v>323</v>
      </c>
      <c r="AM52" t="s">
        <v>329</v>
      </c>
      <c r="AR52" t="s">
        <v>331</v>
      </c>
      <c r="AS52" t="s">
        <v>340</v>
      </c>
      <c r="AT52" t="s">
        <v>369</v>
      </c>
      <c r="AV52" t="s">
        <v>373</v>
      </c>
      <c r="AW52" s="2">
        <v>45959</v>
      </c>
      <c r="AX52" t="s">
        <v>389</v>
      </c>
      <c r="AY52">
        <v>0</v>
      </c>
      <c r="AZ52" t="s">
        <v>373</v>
      </c>
      <c r="BA52" s="2">
        <v>45959</v>
      </c>
      <c r="BB52" t="s">
        <v>138</v>
      </c>
      <c r="BC52">
        <v>37.5402662116134</v>
      </c>
      <c r="BD52">
        <v>126.991527297365</v>
      </c>
      <c r="BE52" t="s">
        <v>393</v>
      </c>
      <c r="BF52" t="s">
        <v>411</v>
      </c>
      <c r="BG52" t="s">
        <v>445</v>
      </c>
      <c r="BH52" t="s">
        <v>482</v>
      </c>
      <c r="BI52" s="3" t="s">
        <v>520</v>
      </c>
      <c r="BJ52">
        <f>HYPERLINK("https://www.google.com/maps/search/?api=1&amp;query=37.5402662116134,126.991527297365", "길찾기")</f>
        <v>0</v>
      </c>
    </row>
    <row r="53" spans="1:62">
      <c r="A53" t="s">
        <v>62</v>
      </c>
      <c r="B53" t="s">
        <v>67</v>
      </c>
      <c r="C53" t="s">
        <v>71</v>
      </c>
      <c r="E53">
        <v>51862821</v>
      </c>
      <c r="F53" t="s">
        <v>122</v>
      </c>
      <c r="G53" s="2">
        <v>45897</v>
      </c>
      <c r="H53" t="s">
        <v>127</v>
      </c>
      <c r="I53" t="s">
        <v>128</v>
      </c>
      <c r="J53" t="s">
        <v>130</v>
      </c>
      <c r="K53" t="s">
        <v>131</v>
      </c>
      <c r="L53" t="s">
        <v>133</v>
      </c>
      <c r="M53" t="s">
        <v>134</v>
      </c>
      <c r="N53" t="s">
        <v>136</v>
      </c>
      <c r="O53" t="s">
        <v>138</v>
      </c>
      <c r="P53">
        <v>185</v>
      </c>
      <c r="Q53">
        <v>216</v>
      </c>
      <c r="R53" t="s">
        <v>143</v>
      </c>
      <c r="S53" t="s">
        <v>143</v>
      </c>
      <c r="T53" t="s">
        <v>146</v>
      </c>
      <c r="U53" t="s">
        <v>155</v>
      </c>
      <c r="V53">
        <v>70000</v>
      </c>
      <c r="W53" t="s">
        <v>186</v>
      </c>
      <c r="Y53" t="s">
        <v>224</v>
      </c>
      <c r="Z53" s="2">
        <v>45897</v>
      </c>
      <c r="AA53" s="2">
        <v>45928</v>
      </c>
      <c r="AB53" s="2">
        <v>45183</v>
      </c>
      <c r="AC53" s="2">
        <v>46278</v>
      </c>
      <c r="AE53" t="s">
        <v>241</v>
      </c>
      <c r="AH53" t="s">
        <v>280</v>
      </c>
      <c r="AI53" t="s">
        <v>321</v>
      </c>
      <c r="AJ53" t="s">
        <v>323</v>
      </c>
      <c r="AK53" t="s">
        <v>323</v>
      </c>
      <c r="AL53" t="s">
        <v>323</v>
      </c>
      <c r="AM53" t="s">
        <v>330</v>
      </c>
      <c r="AR53" t="s">
        <v>331</v>
      </c>
      <c r="AS53" t="s">
        <v>341</v>
      </c>
      <c r="AT53" t="s">
        <v>370</v>
      </c>
      <c r="AV53" t="s">
        <v>373</v>
      </c>
      <c r="AW53" s="2">
        <v>45897</v>
      </c>
      <c r="AX53">
        <v>0</v>
      </c>
      <c r="AY53">
        <v>0</v>
      </c>
      <c r="AZ53" t="s">
        <v>373</v>
      </c>
      <c r="BA53" s="2">
        <v>45897</v>
      </c>
      <c r="BB53" t="s">
        <v>138</v>
      </c>
      <c r="BC53">
        <v>37.5743345779563</v>
      </c>
      <c r="BD53">
        <v>126.989694095817</v>
      </c>
      <c r="BE53" t="s">
        <v>393</v>
      </c>
      <c r="BF53" t="s">
        <v>407</v>
      </c>
      <c r="BG53" t="s">
        <v>446</v>
      </c>
      <c r="BH53" t="s">
        <v>483</v>
      </c>
      <c r="BI53" s="3" t="s">
        <v>521</v>
      </c>
      <c r="BJ53">
        <f>HYPERLINK("https://www.google.com/maps/search/?api=1&amp;query=37.5743345779563,126.989694095817", "길찾기")</f>
        <v>0</v>
      </c>
    </row>
    <row r="54" spans="1:62">
      <c r="A54" t="s">
        <v>62</v>
      </c>
      <c r="B54" t="s">
        <v>67</v>
      </c>
      <c r="C54" t="s">
        <v>71</v>
      </c>
      <c r="E54">
        <v>52237360</v>
      </c>
      <c r="F54" t="s">
        <v>123</v>
      </c>
      <c r="G54" s="2">
        <v>45890</v>
      </c>
      <c r="H54" t="s">
        <v>127</v>
      </c>
      <c r="I54" t="s">
        <v>128</v>
      </c>
      <c r="J54" t="s">
        <v>130</v>
      </c>
      <c r="K54" t="s">
        <v>131</v>
      </c>
      <c r="L54" t="s">
        <v>133</v>
      </c>
      <c r="M54" t="s">
        <v>134</v>
      </c>
      <c r="N54" t="s">
        <v>136</v>
      </c>
      <c r="O54" t="s">
        <v>138</v>
      </c>
      <c r="P54">
        <v>192</v>
      </c>
      <c r="Q54">
        <v>223</v>
      </c>
      <c r="R54" t="s">
        <v>143</v>
      </c>
      <c r="S54" t="s">
        <v>143</v>
      </c>
      <c r="T54" t="s">
        <v>147</v>
      </c>
      <c r="U54" t="s">
        <v>163</v>
      </c>
      <c r="V54">
        <v>80000</v>
      </c>
      <c r="W54" t="s">
        <v>186</v>
      </c>
      <c r="Y54" t="s">
        <v>225</v>
      </c>
      <c r="Z54" s="2">
        <v>45890</v>
      </c>
      <c r="AA54">
        <v>0</v>
      </c>
      <c r="AB54" s="2">
        <v>45806</v>
      </c>
      <c r="AC54" s="2">
        <v>47266</v>
      </c>
      <c r="AE54" t="s">
        <v>241</v>
      </c>
      <c r="AH54" t="s">
        <v>281</v>
      </c>
      <c r="AI54" t="s">
        <v>322</v>
      </c>
      <c r="AJ54" t="s">
        <v>323</v>
      </c>
      <c r="AK54" t="s">
        <v>323</v>
      </c>
      <c r="AL54" t="s">
        <v>323</v>
      </c>
      <c r="AM54" t="s">
        <v>330</v>
      </c>
      <c r="AR54" t="s">
        <v>337</v>
      </c>
      <c r="AS54" t="s">
        <v>340</v>
      </c>
      <c r="AT54" t="s">
        <v>371</v>
      </c>
      <c r="AU54" t="s">
        <v>372</v>
      </c>
      <c r="AV54" t="s">
        <v>373</v>
      </c>
      <c r="AW54" s="2">
        <v>45890</v>
      </c>
      <c r="AX54" t="s">
        <v>390</v>
      </c>
      <c r="AY54">
        <v>0</v>
      </c>
      <c r="AZ54" t="s">
        <v>373</v>
      </c>
      <c r="BA54" s="2">
        <v>45890</v>
      </c>
      <c r="BB54" t="s">
        <v>138</v>
      </c>
      <c r="BC54">
        <v>37.5806911752014</v>
      </c>
      <c r="BD54">
        <v>126.982696745397</v>
      </c>
      <c r="BE54" t="s">
        <v>393</v>
      </c>
      <c r="BF54" t="s">
        <v>407</v>
      </c>
      <c r="BG54" t="s">
        <v>447</v>
      </c>
      <c r="BH54" t="s">
        <v>484</v>
      </c>
      <c r="BI54" s="3" t="s">
        <v>522</v>
      </c>
      <c r="BJ54">
        <f>HYPERLINK("https://www.google.com/maps/search/?api=1&amp;query=37.5806911752014,126.982696745397", "길찾기")</f>
        <v>0</v>
      </c>
    </row>
    <row r="55" spans="1:62">
      <c r="A55" t="s">
        <v>62</v>
      </c>
      <c r="B55" t="s">
        <v>64</v>
      </c>
      <c r="E55">
        <v>51548501</v>
      </c>
      <c r="F55" t="s">
        <v>124</v>
      </c>
      <c r="G55" s="2">
        <v>45992</v>
      </c>
      <c r="H55" t="s">
        <v>127</v>
      </c>
      <c r="I55" t="s">
        <v>128</v>
      </c>
      <c r="K55" t="s">
        <v>132</v>
      </c>
      <c r="L55" t="s">
        <v>133</v>
      </c>
      <c r="M55" t="s">
        <v>134</v>
      </c>
      <c r="N55" t="s">
        <v>137</v>
      </c>
      <c r="O55" t="s">
        <v>139</v>
      </c>
      <c r="P55">
        <v>90</v>
      </c>
      <c r="Q55">
        <v>121</v>
      </c>
      <c r="R55" t="s">
        <v>141</v>
      </c>
      <c r="S55" t="s">
        <v>142</v>
      </c>
      <c r="T55" t="s">
        <v>145</v>
      </c>
      <c r="U55" t="s">
        <v>155</v>
      </c>
      <c r="V55">
        <v>41000</v>
      </c>
      <c r="W55" t="s">
        <v>187</v>
      </c>
      <c r="Y55" t="s">
        <v>226</v>
      </c>
      <c r="AB55" s="2">
        <v>44578</v>
      </c>
      <c r="AE55" t="s">
        <v>241</v>
      </c>
      <c r="AJ55" t="s">
        <v>323</v>
      </c>
      <c r="AK55" t="s">
        <v>323</v>
      </c>
      <c r="AL55" t="s">
        <v>323</v>
      </c>
      <c r="AM55" t="s">
        <v>327</v>
      </c>
      <c r="AV55" t="s">
        <v>139</v>
      </c>
      <c r="AX55" t="s">
        <v>391</v>
      </c>
      <c r="AY55">
        <v>0</v>
      </c>
      <c r="BC55">
        <v>37.6564361884886</v>
      </c>
      <c r="BD55">
        <v>127.06612372319</v>
      </c>
      <c r="BE55" t="s">
        <v>393</v>
      </c>
      <c r="BF55" t="s">
        <v>412</v>
      </c>
      <c r="BH55" t="s">
        <v>485</v>
      </c>
      <c r="BI55" s="3" t="s">
        <v>523</v>
      </c>
      <c r="BJ55">
        <f>HYPERLINK("https://www.google.com/maps/search/?api=1&amp;query=37.6564361884886,127.06612372319", "길찾기")</f>
        <v>0</v>
      </c>
    </row>
    <row r="56" spans="1:62">
      <c r="A56" t="s">
        <v>62</v>
      </c>
      <c r="B56" t="s">
        <v>64</v>
      </c>
      <c r="E56">
        <v>52291531</v>
      </c>
      <c r="F56" t="s">
        <v>125</v>
      </c>
      <c r="G56" s="2">
        <v>45967</v>
      </c>
      <c r="H56" t="s">
        <v>127</v>
      </c>
      <c r="I56" t="s">
        <v>128</v>
      </c>
      <c r="K56" t="s">
        <v>132</v>
      </c>
      <c r="L56" t="s">
        <v>133</v>
      </c>
      <c r="M56" t="s">
        <v>134</v>
      </c>
      <c r="N56" t="s">
        <v>137</v>
      </c>
      <c r="O56" t="s">
        <v>139</v>
      </c>
      <c r="P56">
        <v>115</v>
      </c>
      <c r="Q56">
        <v>146</v>
      </c>
      <c r="R56" t="s">
        <v>141</v>
      </c>
      <c r="S56" t="s">
        <v>142</v>
      </c>
      <c r="T56" t="s">
        <v>147</v>
      </c>
      <c r="U56" t="s">
        <v>149</v>
      </c>
      <c r="V56">
        <v>100000</v>
      </c>
      <c r="W56" t="s">
        <v>177</v>
      </c>
      <c r="Y56" t="s">
        <v>227</v>
      </c>
      <c r="AB56" s="2">
        <v>45895</v>
      </c>
      <c r="AE56" t="s">
        <v>241</v>
      </c>
      <c r="AJ56" t="s">
        <v>323</v>
      </c>
      <c r="AK56" t="s">
        <v>323</v>
      </c>
      <c r="AL56" t="s">
        <v>323</v>
      </c>
      <c r="AM56" t="s">
        <v>328</v>
      </c>
      <c r="AV56" t="s">
        <v>139</v>
      </c>
      <c r="AX56" t="s">
        <v>391</v>
      </c>
      <c r="AY56">
        <v>0</v>
      </c>
      <c r="BC56">
        <v>37.6267812637117</v>
      </c>
      <c r="BD56">
        <v>127.03052775851</v>
      </c>
      <c r="BE56" t="s">
        <v>393</v>
      </c>
      <c r="BF56" t="s">
        <v>413</v>
      </c>
      <c r="BG56" t="s">
        <v>448</v>
      </c>
      <c r="BH56" t="s">
        <v>486</v>
      </c>
      <c r="BI56" s="3" t="s">
        <v>524</v>
      </c>
      <c r="BJ56">
        <f>HYPERLINK("https://www.google.com/maps/search/?api=1&amp;query=37.6267812637117,127.03052775851", "길찾기")</f>
        <v>0</v>
      </c>
    </row>
    <row r="57" spans="1:62">
      <c r="A57" t="s">
        <v>62</v>
      </c>
      <c r="B57" t="s">
        <v>63</v>
      </c>
      <c r="E57">
        <v>52257862</v>
      </c>
      <c r="F57" t="s">
        <v>126</v>
      </c>
      <c r="G57" s="2">
        <v>45964</v>
      </c>
      <c r="H57" t="s">
        <v>127</v>
      </c>
      <c r="I57" t="s">
        <v>128</v>
      </c>
      <c r="J57" t="s">
        <v>130</v>
      </c>
      <c r="K57" t="s">
        <v>131</v>
      </c>
      <c r="L57" t="s">
        <v>133</v>
      </c>
      <c r="M57" t="s">
        <v>134</v>
      </c>
      <c r="N57" t="s">
        <v>137</v>
      </c>
      <c r="O57" t="s">
        <v>139</v>
      </c>
      <c r="P57">
        <v>118</v>
      </c>
      <c r="Q57">
        <v>149</v>
      </c>
      <c r="R57" t="s">
        <v>141</v>
      </c>
      <c r="S57" t="s">
        <v>142</v>
      </c>
      <c r="T57" t="s">
        <v>144</v>
      </c>
      <c r="U57" t="s">
        <v>155</v>
      </c>
      <c r="V57">
        <v>180000</v>
      </c>
      <c r="W57" t="s">
        <v>164</v>
      </c>
      <c r="Y57" t="s">
        <v>228</v>
      </c>
      <c r="AB57" s="2">
        <v>45837</v>
      </c>
      <c r="AE57" t="s">
        <v>241</v>
      </c>
      <c r="AJ57" t="s">
        <v>323</v>
      </c>
      <c r="AK57" t="s">
        <v>323</v>
      </c>
      <c r="AL57" t="s">
        <v>323</v>
      </c>
      <c r="AM57" t="s">
        <v>328</v>
      </c>
      <c r="AV57" t="s">
        <v>139</v>
      </c>
      <c r="AX57" t="s">
        <v>374</v>
      </c>
      <c r="AY57">
        <v>0</v>
      </c>
      <c r="BE57" t="s">
        <v>393</v>
      </c>
      <c r="BF57" t="s">
        <v>396</v>
      </c>
      <c r="BG57" t="s">
        <v>424</v>
      </c>
    </row>
  </sheetData>
  <hyperlinks>
    <hyperlink ref="BI2" r:id="rId1"/>
    <hyperlink ref="BI3" r:id="rId2"/>
    <hyperlink ref="BI4" r:id="rId3"/>
    <hyperlink ref="BI5" r:id="rId4"/>
    <hyperlink ref="BI6" r:id="rId5"/>
    <hyperlink ref="BI7" r:id="rId6"/>
    <hyperlink ref="BI8" r:id="rId7"/>
    <hyperlink ref="BI9" r:id="rId8"/>
    <hyperlink ref="BI10" r:id="rId9"/>
    <hyperlink ref="BI11" r:id="rId10"/>
    <hyperlink ref="BI12" r:id="rId11"/>
    <hyperlink ref="BI13" r:id="rId12"/>
    <hyperlink ref="BI14" r:id="rId13"/>
    <hyperlink ref="BI15" r:id="rId14"/>
    <hyperlink ref="BI16" r:id="rId15"/>
    <hyperlink ref="BI17" r:id="rId16"/>
    <hyperlink ref="BI18" r:id="rId17"/>
    <hyperlink ref="BI19" r:id="rId18"/>
    <hyperlink ref="BI20" r:id="rId19"/>
    <hyperlink ref="BI21" r:id="rId20"/>
    <hyperlink ref="BI22" r:id="rId21"/>
    <hyperlink ref="BI23" r:id="rId22"/>
    <hyperlink ref="BI24" r:id="rId23"/>
    <hyperlink ref="BI25" r:id="rId24"/>
    <hyperlink ref="BI26" r:id="rId25"/>
    <hyperlink ref="BI27" r:id="rId26"/>
    <hyperlink ref="BI28" r:id="rId27"/>
    <hyperlink ref="BI29" r:id="rId28"/>
    <hyperlink ref="BI30" r:id="rId29"/>
    <hyperlink ref="BI31" r:id="rId30"/>
    <hyperlink ref="BI32" r:id="rId31"/>
    <hyperlink ref="BI33" r:id="rId32"/>
    <hyperlink ref="BI34" r:id="rId33"/>
    <hyperlink ref="BI35" r:id="rId34"/>
    <hyperlink ref="BI36" r:id="rId35"/>
    <hyperlink ref="BI37" r:id="rId36"/>
    <hyperlink ref="BI38" r:id="rId37"/>
    <hyperlink ref="BI39" r:id="rId38"/>
    <hyperlink ref="BI40" r:id="rId39"/>
    <hyperlink ref="BI41" r:id="rId40"/>
    <hyperlink ref="BI42" r:id="rId41"/>
    <hyperlink ref="BI43" r:id="rId42"/>
    <hyperlink ref="BI44" r:id="rId43"/>
    <hyperlink ref="BI45" r:id="rId44"/>
    <hyperlink ref="BI46" r:id="rId45"/>
    <hyperlink ref="BI47" r:id="rId46"/>
    <hyperlink ref="BI48" r:id="rId47"/>
    <hyperlink ref="BI49" r:id="rId48"/>
    <hyperlink ref="BI50" r:id="rId49"/>
    <hyperlink ref="BI51" r:id="rId50"/>
    <hyperlink ref="BI52" r:id="rId51"/>
    <hyperlink ref="BI53" r:id="rId52"/>
    <hyperlink ref="BI54" r:id="rId53"/>
    <hyperlink ref="BI55" r:id="rId54"/>
    <hyperlink ref="BI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2026-02-24T05:12:25Z</dcterms:created>
  <dcterms:modified xsi:type="dcterms:W3CDTF">2026-02-24T05:12:25Z</dcterms:modified>
</cp:coreProperties>
</file>